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 tab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<sst xmlns="http://schemas.openxmlformats.org/spreadsheetml/2006/main" count="63" uniqueCount="39">
  <si>
    <t xml:space="preserve">Kestrel Software Ltd – capitalisation table before and after the Series A</t>
  </si>
  <si>
    <t xml:space="preserve">As at 24 September 2026, on the term sheet’s numbers</t>
  </si>
  <si>
    <t xml:space="preserve">Prepared by Ines Kowalczyk, Chief Executive. Blue figures are inputs; the rest are worked out. Percentages are fully diluted: every option, granted or not, counts as a share.</t>
  </si>
  <si>
    <t xml:space="preserve">Shareholders and options</t>
  </si>
  <si>
    <t xml:space="preserve">Holder</t>
  </si>
  <si>
    <t xml:space="preserve">Class</t>
  </si>
  <si>
    <t xml:space="preserve">Shares before</t>
  </si>
  <si>
    <t xml:space="preserve">Before, % fully diluted</t>
  </si>
  <si>
    <t xml:space="preserve">Series A shares</t>
  </si>
  <si>
    <t xml:space="preserve">Shares after</t>
  </si>
  <si>
    <t xml:space="preserve">After, % fully diluted</t>
  </si>
  <si>
    <t xml:space="preserve">Money invested</t>
  </si>
  <si>
    <t xml:space="preserve">Ines Kowalczyk</t>
  </si>
  <si>
    <t xml:space="preserve">Ordinary</t>
  </si>
  <si>
    <t xml:space="preserve"/>
  </si>
  <si>
    <t xml:space="preserve">Tobias Wren</t>
  </si>
  <si>
    <t xml:space="preserve">Ruth Calloway</t>
  </si>
  <si>
    <t xml:space="preserve">Dev Mistry</t>
  </si>
  <si>
    <t xml:space="preserve">Ordinary shares in issue</t>
  </si>
  <si>
    <t xml:space="preserve">Options granted</t>
  </si>
  <si>
    <t xml:space="preserve">Share option plan</t>
  </si>
  <si>
    <t xml:space="preserve">Options not yet allocated</t>
  </si>
  <si>
    <t xml:space="preserve">Option pool</t>
  </si>
  <si>
    <t xml:space="preserve">Merrowdown Ventures LLP</t>
  </si>
  <si>
    <t xml:space="preserve">Series A preferred</t>
  </si>
  <si>
    <t xml:space="preserve">Pellridge Capital Partners LP</t>
  </si>
  <si>
    <t xml:space="preserve">Total, fully diluted</t>
  </si>
  <si>
    <t xml:space="preserve">The round</t>
  </si>
  <si>
    <t xml:space="preserve">Price of a Series A share</t>
  </si>
  <si>
    <t xml:space="preserve">Series A shares issued</t>
  </si>
  <si>
    <t xml:space="preserve">Money raised</t>
  </si>
  <si>
    <t xml:space="preserve">Pre-money valuation (shares before × price)</t>
  </si>
  <si>
    <t xml:space="preserve">Post-money valuation (shares after × price)</t>
  </si>
  <si>
    <t xml:space="preserve">Series A investors’ share after the round</t>
  </si>
  <si>
    <t xml:space="preserve">Check: post-money less pre-money less money raised (nil)</t>
  </si>
  <si>
    <t xml:space="preserve">Notes</t>
  </si>
  <si>
    <t xml:space="preserve">1.  The ordinary shares and the option pool agree with the register of members and the share option plan: 9,000,000 shares in issue and 1,000,000 options.</t>
  </si>
  <si>
    <t xml:space="preserve">2.  Of the 1,000,000 options in the pool, 640,000 are granted and 360,000 are not yet allocated.</t>
  </si>
  <si>
    <t xml:space="preserve">3.  Merrowdown Ventures LLP invests £3,000,000 for 1,875,000 shares and Pellridge Capital Partners LP £1,000,000 for 625,000 shares, both at £1.60.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</si>
</sst>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#"/>
    <numFmt numFmtId="166" formatCode="0"/>
    <numFmt numFmtId="167" formatCode="[$£-809]#,##0.00"/>
    <numFmt numFmtId="168" formatCode="0.#%"/>
    <numFmt numFmtId="169" formatCode="d\ mmm\ yyyy"/>
    <numFmt numFmtId="170" formatCode="#,##0"/>
    <numFmt numFmtId="171" formatCode="0.00%"/>
    <numFmt numFmtId="172" formatCode="ddd\ d\ mmm\ yyyy"/>
  </numFmts>
  <fonts count="12">
    <font>
      <sz val="9.5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8A4B12"/>
      <name val="Calibri"/>
      <family val="2"/>
    </font>
    <font>
      <sz val="9.5"/>
      <color rgb="FF333333"/>
      <name val="Calibri"/>
      <family val="2"/>
    </font>
    <font>
      <b val="true"/>
      <sz val="10.5"/>
      <color rgb="FFFFFFFF"/>
      <name val="Calibri"/>
      <family val="2"/>
    </font>
    <font>
      <b val="true"/>
      <sz val="9.5"/>
      <name val="Calibri"/>
      <family val="2"/>
    </font>
    <font>
      <sz val="9.5"/>
      <color rgb="FF0B3D91"/>
      <name val="Calibri"/>
      <family val="2"/>
    </font>
    <font>
      <b val="true"/>
      <sz val="10.5"/>
      <name val="Calibri"/>
      <family val="2"/>
    </font>
    <font>
      <b val="true"/>
      <sz val="11"/>
      <color rgb="FFFFFFFF"/>
      <name val="Calibri"/>
      <family val="2"/>
    </font>
    <font>
      <b val="true"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A4B12"/>
        <bgColor rgb="FF993366"/>
      </patternFill>
    </fill>
    <fill>
      <patternFill patternType="solid">
        <fgColor rgb="FFF5ECE3"/>
        <bgColor rgb="FFFFF3D1"/>
      </patternFill>
    </fill>
    <fill>
      <patternFill patternType="solid">
        <fgColor rgb="FFFFF3D1"/>
        <bgColor rgb="FFFFF1C9"/>
      </patternFill>
    </fill>
    <fill>
      <patternFill patternType="solid">
        <fgColor rgb="FFDFF0E0"/>
        <bgColor rgb="FFD9E4F5"/>
      </patternFill>
    </fill>
    <fill>
      <patternFill patternType="solid">
        <fgColor rgb="FFFFF1C9"/>
        <bgColor rgb="FFFFF3D1"/>
      </patternFill>
    </fill>
    <fill>
      <patternFill patternType="solid">
        <fgColor rgb="FFF7D9D4"/>
        <bgColor rgb="FFF5ECE3"/>
      </patternFill>
    </fill>
    <fill>
      <patternFill patternType="solid">
        <fgColor rgb="FFD9E4F5"/>
        <bgColor rgb="FFDFF0E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A4B12"/>
      </bottom>
      <diagonal/>
    </border>
    <border diagonalUp="false" diagonalDown="false">
      <left/>
      <right/>
      <top/>
      <bottom style="hair">
        <color rgb="FFCCCCCC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>
        <color rgb="FF8A4B12"/>
      </top>
      <bottom style="hair">
        <color rgb="FF8A4B12"/>
      </bottom>
      <diagonal/>
    </border>
  </borders>
  <cellStyleXfs count="7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top" textRotation="0" wrapText="true" indent="0" shrinkToFit="false"/>
    </xf>
    <xf numFmtId="164" fontId="5" fillId="0" borderId="0" applyFont="true" applyBorder="false" applyAlignment="true" applyProtection="false">
      <alignment horizontal="general" vertical="top" textRotation="0" wrapText="true" indent="0" shrinkToFit="false"/>
    </xf>
    <xf numFmtId="164" fontId="6" fillId="2" borderId="0" applyFont="true" applyBorder="false" applyAlignment="false" applyProtection="false"/>
    <xf numFmtId="164" fontId="7" fillId="3" borderId="1" applyFont="true" applyBorder="true" applyAlignment="true" applyProtection="false">
      <alignment horizontal="general" vertical="bottom" textRotation="0" wrapText="true" indent="0" shrinkToFit="false"/>
    </xf>
    <xf numFmtId="164" fontId="7" fillId="3" borderId="1" applyFont="true" applyBorder="true" applyAlignment="true" applyProtection="false">
      <alignment horizontal="right" vertical="bottom" textRotation="0" wrapText="true" indent="0" shrinkToFit="false"/>
    </xf>
    <xf numFmtId="164" fontId="7" fillId="3" borderId="1" applyFont="true" applyBorder="true" applyAlignment="true" applyProtection="false">
      <alignment horizontal="center" vertical="bottom" textRotation="0" wrapText="true" indent="0" shrinkToFit="false"/>
    </xf>
    <xf numFmtId="164" fontId="0" fillId="0" borderId="2" applyFont="false" applyBorder="true" applyAlignment="true" applyProtection="false">
      <alignment horizontal="general" vertical="bottom" textRotation="0" wrapText="true" indent="0" shrinkToFit="false"/>
    </xf>
    <xf numFmtId="164" fontId="0" fillId="0" borderId="2" applyFont="false" applyBorder="true" applyAlignment="true" applyProtection="false">
      <alignment horizontal="general" vertical="bottom" textRotation="0" wrapText="true" indent="0" shrinkToFit="false"/>
    </xf>
    <xf numFmtId="164" fontId="7" fillId="3" borderId="1" applyFont="true" applyBorder="true" applyAlignment="true" applyProtection="false">
      <alignment horizontal="general" vertical="bottom" textRotation="0" wrapText="true" indent="0" shrinkToFit="false"/>
    </xf>
    <xf numFmtId="164" fontId="0" fillId="0" borderId="2" applyFont="false" applyBorder="true" applyAlignment="true" applyProtection="false">
      <alignment horizontal="center" vertical="bottom" textRotation="0" wrapText="true" indent="0" shrinkToFit="false"/>
    </xf>
    <xf numFmtId="165" fontId="0" fillId="0" borderId="2" applyFont="false" applyBorder="true" applyAlignment="true" applyProtection="false">
      <alignment horizontal="general" vertical="bottom" textRotation="0" wrapText="true" indent="0" shrinkToFit="false"/>
    </xf>
    <xf numFmtId="166" fontId="0" fillId="0" borderId="2" applyFont="false" applyBorder="true" applyAlignment="true" applyProtection="false">
      <alignment horizontal="right" vertical="bottom" textRotation="0" wrapText="true" indent="0" shrinkToFit="false"/>
    </xf>
    <xf numFmtId="167" fontId="0" fillId="0" borderId="2" applyFont="false" applyBorder="true" applyAlignment="true" applyProtection="false">
      <alignment horizontal="general" vertical="bottom" textRotation="0" wrapText="true" indent="0" shrinkToFit="false"/>
    </xf>
    <xf numFmtId="167" fontId="8" fillId="0" borderId="2" applyFont="true" applyBorder="true" applyAlignment="true" applyProtection="false">
      <alignment horizontal="general" vertical="bottom" textRotation="0" wrapText="true" indent="0" shrinkToFit="false"/>
    </xf>
    <xf numFmtId="168" fontId="0" fillId="0" borderId="2" applyFont="false" applyBorder="true" applyAlignment="true" applyProtection="false">
      <alignment horizontal="general" vertical="bottom" textRotation="0" wrapText="true" indent="0" shrinkToFit="false"/>
    </xf>
    <xf numFmtId="168" fontId="8" fillId="0" borderId="2" applyFont="true" applyBorder="true" applyAlignment="true" applyProtection="false">
      <alignment horizontal="general" vertical="bottom" textRotation="0" wrapText="true" indent="0" shrinkToFit="false"/>
    </xf>
    <xf numFmtId="169" fontId="0" fillId="0" borderId="2" applyFont="false" applyBorder="true" applyAlignment="true" applyProtection="false">
      <alignment horizontal="right" vertical="bottom" textRotation="0" wrapText="true" indent="0" shrinkToFit="false"/>
    </xf>
    <xf numFmtId="169" fontId="8" fillId="0" borderId="2" applyFont="true" applyBorder="true" applyAlignment="true" applyProtection="false">
      <alignment horizontal="right" vertical="bottom" textRotation="0" wrapText="true" indent="0" shrinkToFit="false"/>
    </xf>
    <xf numFmtId="164" fontId="7" fillId="4" borderId="2" applyFont="true" applyBorder="true" applyAlignment="true" applyProtection="false">
      <alignment horizontal="general" vertical="bottom" textRotation="0" wrapText="true" indent="0" shrinkToFit="false"/>
    </xf>
    <xf numFmtId="167" fontId="7" fillId="4" borderId="2" applyFont="true" applyBorder="true" applyAlignment="true" applyProtection="false">
      <alignment horizontal="general" vertical="bottom" textRotation="0" wrapText="true" indent="0" shrinkToFit="false"/>
    </xf>
    <xf numFmtId="168" fontId="7" fillId="4" borderId="2" applyFont="true" applyBorder="true" applyAlignment="true" applyProtection="false">
      <alignment horizontal="general" vertical="bottom" textRotation="0" wrapText="true" indent="0" shrinkToFit="false"/>
    </xf>
    <xf numFmtId="164" fontId="7" fillId="0" borderId="3" applyFont="true" applyBorder="true" applyAlignment="true" applyProtection="false">
      <alignment horizontal="general" vertical="bottom" textRotation="0" wrapText="true" indent="0" shrinkToFit="false"/>
    </xf>
    <xf numFmtId="167" fontId="7" fillId="0" borderId="3" applyFont="true" applyBorder="true" applyAlignment="true" applyProtection="false">
      <alignment horizontal="general" vertical="bottom" textRotation="0" wrapText="true" indent="0" shrinkToFit="false"/>
    </xf>
    <xf numFmtId="168" fontId="7" fillId="0" borderId="3" applyFont="true" applyBorder="true" applyAlignment="true" applyProtection="false">
      <alignment horizontal="general" vertical="bottom" textRotation="0" wrapText="true" indent="0" shrinkToFit="false"/>
    </xf>
    <xf numFmtId="164" fontId="9" fillId="3" borderId="4" applyFont="true" applyBorder="true" applyAlignment="true" applyProtection="false">
      <alignment horizontal="general" vertical="bottom" textRotation="0" wrapText="true" indent="0" shrinkToFit="false"/>
    </xf>
    <xf numFmtId="167" fontId="9" fillId="3" borderId="4" applyFont="true" applyBorder="true" applyAlignment="true" applyProtection="false">
      <alignment horizontal="general" vertical="bottom" textRotation="0" wrapText="true" indent="0" shrinkToFit="false"/>
    </xf>
    <xf numFmtId="168" fontId="9" fillId="3" borderId="4" applyFont="true" applyBorder="true" applyAlignment="true" applyProtection="false">
      <alignment horizontal="general" vertical="bottom" textRotation="0" wrapText="true" indent="0" shrinkToFit="false"/>
    </xf>
    <xf numFmtId="164" fontId="10" fillId="2" borderId="0" applyFont="true" applyBorder="false" applyAlignment="false" applyProtection="false"/>
    <xf numFmtId="167" fontId="10" fillId="2" borderId="0" applyFont="true" applyBorder="false" applyAlignment="true" applyProtection="false">
      <alignment horizontal="right" vertical="bottom" textRotation="0" wrapText="false" indent="0" shrinkToFit="false"/>
    </xf>
    <xf numFmtId="170" fontId="0" fillId="0" borderId="2" applyFont="false" applyBorder="true" applyAlignment="true" applyProtection="false">
      <alignment horizontal="right" vertical="bottom" textRotation="0" wrapText="true" indent="0" shrinkToFit="false"/>
    </xf>
    <xf numFmtId="170" fontId="8" fillId="0" borderId="2" applyFont="true" applyBorder="true" applyAlignment="true" applyProtection="false">
      <alignment horizontal="right" vertical="bottom" textRotation="0" wrapText="true" indent="0" shrinkToFit="false"/>
    </xf>
    <xf numFmtId="170" fontId="7" fillId="0" borderId="3" applyFont="true" applyBorder="true" applyAlignment="true" applyProtection="false">
      <alignment horizontal="right" vertical="bottom" textRotation="0" wrapText="true" indent="0" shrinkToFit="false"/>
    </xf>
    <xf numFmtId="170" fontId="9" fillId="3" borderId="4" applyFont="true" applyBorder="true" applyAlignment="true" applyProtection="false">
      <alignment horizontal="right" vertical="bottom" textRotation="0" wrapText="true" indent="0" shrinkToFit="false"/>
    </xf>
    <xf numFmtId="171" fontId="0" fillId="0" borderId="2" applyFont="false" applyBorder="true" applyAlignment="true" applyProtection="false">
      <alignment horizontal="right" vertical="bottom" textRotation="0" wrapText="true" indent="0" shrinkToFit="false"/>
    </xf>
    <xf numFmtId="171" fontId="7" fillId="0" borderId="3" applyFont="true" applyBorder="true" applyAlignment="true" applyProtection="false">
      <alignment horizontal="right" vertical="bottom" textRotation="0" wrapText="true" indent="0" shrinkToFit="false"/>
    </xf>
    <xf numFmtId="171" fontId="9" fillId="3" borderId="4" applyFont="true" applyBorder="true" applyAlignment="true" applyProtection="false">
      <alignment horizontal="right" vertical="bottom" textRotation="0" wrapText="true" indent="0" shrinkToFit="false"/>
    </xf>
    <xf numFmtId="169" fontId="0" fillId="0" borderId="2" applyFont="false" applyBorder="true" applyAlignment="true" applyProtection="false">
      <alignment horizontal="center" vertical="bottom" textRotation="0" wrapText="true" indent="0" shrinkToFit="false"/>
    </xf>
    <xf numFmtId="169" fontId="8" fillId="0" borderId="2" applyFont="true" applyBorder="true" applyAlignment="true" applyProtection="false">
      <alignment horizontal="center" vertical="bottom" textRotation="0" wrapText="true" indent="0" shrinkToFit="false"/>
    </xf>
    <xf numFmtId="172" fontId="0" fillId="0" borderId="2" applyFont="false" applyBorder="true" applyAlignment="true" applyProtection="false">
      <alignment horizontal="center" vertical="bottom" textRotation="0" wrapText="true" indent="0" shrinkToFit="false"/>
    </xf>
    <xf numFmtId="172" fontId="8" fillId="0" borderId="2" applyFont="true" applyBorder="true" applyAlignment="true" applyProtection="false">
      <alignment horizontal="center" vertical="bottom" textRotation="0" wrapText="true" indent="0" shrinkToFit="false"/>
    </xf>
    <xf numFmtId="166" fontId="0" fillId="0" borderId="2" applyFont="false" applyBorder="true" applyAlignment="true" applyProtection="false">
      <alignment horizontal="right" vertical="bottom" textRotation="0" wrapText="true" indent="0" shrinkToFit="false"/>
    </xf>
    <xf numFmtId="164" fontId="0" fillId="0" borderId="2" applyFont="false" applyBorder="true" applyAlignment="true" applyProtection="false">
      <alignment horizontal="general" vertical="top" textRotation="0" wrapText="true" indent="0" shrinkToFit="false"/>
    </xf>
    <xf numFmtId="164" fontId="0" fillId="5" borderId="2" applyFont="false" applyBorder="true" applyAlignment="true" applyProtection="false">
      <alignment horizontal="center" vertical="top" textRotation="0" wrapText="true" indent="0" shrinkToFit="false"/>
    </xf>
    <xf numFmtId="164" fontId="0" fillId="6" borderId="2" applyFont="false" applyBorder="true" applyAlignment="true" applyProtection="false">
      <alignment horizontal="center" vertical="top" textRotation="0" wrapText="true" indent="0" shrinkToFit="false"/>
    </xf>
    <xf numFmtId="164" fontId="0" fillId="7" borderId="2" applyFont="false" applyBorder="true" applyAlignment="true" applyProtection="false">
      <alignment horizontal="center" vertical="top" textRotation="0" wrapText="true" indent="0" shrinkToFit="false"/>
    </xf>
    <xf numFmtId="164" fontId="0" fillId="8" borderId="2" applyFont="false" applyBorder="true" applyAlignment="true" applyProtection="false">
      <alignment horizontal="center" vertical="top" textRotation="0" wrapText="true" indent="0" shrinkToFit="false"/>
    </xf>
    <xf numFmtId="169" fontId="0" fillId="0" borderId="2" applyFont="false" applyBorder="true" applyAlignment="true" applyProtection="false">
      <alignment horizontal="center" vertical="top" textRotation="0" wrapText="true" indent="0" shrinkToFit="false"/>
    </xf>
    <xf numFmtId="170" fontId="9" fillId="3" borderId="4" applyFont="true" applyBorder="true" applyAlignment="true" applyProtection="false">
      <alignment horizontal="right" vertical="bottom" textRotation="0" wrapText="true" indent="0" shrinkToFit="false"/>
    </xf>
    <xf numFmtId="170" fontId="7" fillId="0" borderId="3" applyFont="true" applyBorder="true" applyAlignment="true" applyProtection="false">
      <alignment horizontal="right" vertical="bottom" textRotation="0" wrapText="true" indent="0" shrinkToFit="false"/>
    </xf>
    <xf numFmtId="170" fontId="0" fillId="0" borderId="2" applyFont="false" applyBorder="true" applyAlignment="true" applyProtection="false">
      <alignment horizontal="right" vertical="bottom" textRotation="0" wrapText="true" indent="0" shrinkToFit="false"/>
    </xf>
    <xf numFmtId="164" fontId="1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7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6" fillId="2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24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7" fillId="3" borderId="1" xfId="25" applyFont="true" applyBorder="false" applyAlignment="false" applyProtection="false">
      <alignment horizontal="right" vertical="bottom" textRotation="0" wrapText="true" indent="0" shrinkToFit="false"/>
      <protection locked="true" hidden="false"/>
    </xf>
    <xf numFmtId="164" fontId="0" fillId="0" borderId="2" xfId="27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70" fontId="8" fillId="0" borderId="2" xfId="51" applyFont="false" applyBorder="false" applyAlignment="false" applyProtection="false">
      <alignment horizontal="right" vertical="bottom" textRotation="0" wrapText="true" indent="0" shrinkToFit="false"/>
      <protection locked="true" hidden="false"/>
    </xf>
    <xf numFmtId="171" fontId="0" fillId="0" borderId="2" xfId="54" applyFont="false" applyBorder="false" applyAlignment="false" applyProtection="false">
      <alignment horizontal="right" vertical="bottom" textRotation="0" wrapText="true" indent="0" shrinkToFit="false"/>
      <protection locked="true" hidden="false"/>
    </xf>
    <xf numFmtId="170" fontId="0" fillId="0" borderId="2" xfId="50" applyFont="false" applyBorder="false" applyAlignment="false" applyProtection="false">
      <alignment horizontal="right" vertical="bottom" textRotation="0" wrapText="true" indent="0" shrinkToFit="false"/>
      <protection locked="true" hidden="false"/>
    </xf>
    <xf numFmtId="164" fontId="7" fillId="0" borderId="3" xfId="42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70" fontId="7" fillId="0" borderId="3" xfId="52" applyFont="false" applyBorder="false" applyAlignment="false" applyProtection="false">
      <alignment horizontal="right" vertical="bottom" textRotation="0" wrapText="true" indent="0" shrinkToFit="false"/>
      <protection locked="true" hidden="false"/>
    </xf>
    <xf numFmtId="171" fontId="7" fillId="0" borderId="3" xfId="55" applyFont="false" applyBorder="false" applyAlignment="false" applyProtection="false">
      <alignment horizontal="right" vertical="bottom" textRotation="0" wrapText="true" indent="0" shrinkToFit="false"/>
      <protection locked="true" hidden="false"/>
    </xf>
    <xf numFmtId="167" fontId="0" fillId="0" borderId="2" xfId="33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9" fillId="3" borderId="4" xfId="45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70" fontId="9" fillId="3" borderId="4" xfId="53" applyFont="false" applyBorder="false" applyAlignment="false" applyProtection="false">
      <alignment horizontal="right" vertical="bottom" textRotation="0" wrapText="true" indent="0" shrinkToFit="false"/>
      <protection locked="true" hidden="false"/>
    </xf>
    <xf numFmtId="171" fontId="9" fillId="3" borderId="4" xfId="56" applyFont="false" applyBorder="false" applyAlignment="false" applyProtection="false">
      <alignment horizontal="right" vertical="bottom" textRotation="0" wrapText="true" indent="0" shrinkToFit="false"/>
      <protection locked="true" hidden="false"/>
    </xf>
    <xf numFmtId="167" fontId="9" fillId="3" borderId="4" xfId="46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7" fontId="8" fillId="0" borderId="2" xfId="34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0" fillId="0" borderId="2" xfId="27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7" fillId="4" borderId="2" xfId="39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7" fontId="7" fillId="4" borderId="2" xfId="40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7" fillId="4" borderId="2" xfId="39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9" fillId="3" borderId="4" xfId="45" applyFont="false" applyBorder="false" applyAlignment="false" applyProtection="false">
      <alignment horizontal="general" vertical="bottom" textRotation="0" wrapText="true" indent="0" shrinkToFit="false"/>
      <protection locked="true" hidden="false"/>
    </xf>
  </cellXfs>
  <cellStyles count="5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itle" xfId="20"/>
    <cellStyle name="TitleWrap" xfId="21"/>
    <cellStyle name="NoteWrap" xfId="22"/>
    <cellStyle name="Section" xfId="23"/>
    <cellStyle name="ColHead" xfId="24"/>
    <cellStyle name="ColHeadRight" xfId="25"/>
    <cellStyle name="ColHeadCentre" xfId="26"/>
    <cellStyle name="Row" xfId="27"/>
    <cellStyle name="RowPad" xfId="28"/>
    <cellStyle name="ColHeadPad" xfId="29"/>
    <cellStyle name="RowCentre" xfId="30"/>
    <cellStyle name="RowNum" xfId="31"/>
    <cellStyle name="RowInt" xfId="32"/>
    <cellStyle name="RowMoney" xfId="33"/>
    <cellStyle name="RowMoneyIn" xfId="34"/>
    <cellStyle name="RowPct" xfId="35"/>
    <cellStyle name="RowPctIn" xfId="36"/>
    <cellStyle name="RowDate" xfId="37"/>
    <cellStyle name="RowDateIn" xfId="38"/>
    <cellStyle name="HiRow" xfId="39"/>
    <cellStyle name="HiMoney" xfId="40"/>
    <cellStyle name="HiPct" xfId="41"/>
    <cellStyle name="Sub" xfId="42"/>
    <cellStyle name="SubMoney" xfId="43"/>
    <cellStyle name="SubPct" xfId="44"/>
    <cellStyle name="Total" xfId="45"/>
    <cellStyle name="TotalMoney" xfId="46"/>
    <cellStyle name="TotalPct" xfId="47"/>
    <cellStyle name="Due" xfId="48"/>
    <cellStyle name="DueMoney" xfId="49"/>
    <cellStyle name="RowShares" xfId="50"/>
    <cellStyle name="RowSharesIn" xfId="51"/>
    <cellStyle name="SubShares" xfId="52"/>
    <cellStyle name="TotalShares" xfId="53"/>
    <cellStyle name="RowPct2" xfId="54"/>
    <cellStyle name="SubPct2" xfId="55"/>
    <cellStyle name="TotalPct2" xfId="56"/>
    <cellStyle name="RowDateShort" xfId="57"/>
    <cellStyle name="RowDateShortIn" xfId="58"/>
    <cellStyle name="RowDateDow" xfId="59"/>
    <cellStyle name="RowDateDowIn" xfId="60"/>
    <cellStyle name="RowDays" xfId="61"/>
    <cellStyle name="RowTop" xfId="62"/>
    <cellStyle name="StDone" xfId="63"/>
    <cellStyle name="StClient" xfId="64"/>
    <cellStyle name="StOpen" xfId="65"/>
    <cellStyle name="StPost" xfId="66"/>
    <cellStyle name="RowDateTop" xfId="67"/>
    <cellStyle name="TotalLabelCount" xfId="68"/>
    <cellStyle name="SubCount" xfId="69"/>
    <cellStyle name="RowCount" xfId="70"/>
    <cellStyle name="Heading" xfId="7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D1"/>
      <rgbColor rgb="FFF5ECE3"/>
      <rgbColor rgb="FF660066"/>
      <rgbColor rgb="FFFF8080"/>
      <rgbColor rgb="FF0066CC"/>
      <rgbColor rgb="FFD9E4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0E0"/>
      <rgbColor rgb="FFFFF1C9"/>
      <rgbColor rgb="FF99CCFF"/>
      <rgbColor rgb="FFFF99CC"/>
      <rgbColor rgb="FFCC99FF"/>
      <rgbColor rgb="FFF7D9D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3D91"/>
      <rgbColor rgb="FF339966"/>
      <rgbColor rgb="FF003300"/>
      <rgbColor rgb="FF333300"/>
      <rgbColor rgb="FF8A4B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3359375" defaultRowHeight="12.8" customHeight="false" zeroHeight="false" outlineLevelRow="0" outlineLevelCol="0"/>
  <cols>
    <col collapsed="false" customWidth="true" hidden="false" outlineLevel="0" max="1" min="1" style="0" width="37.79"/>
    <col collapsed="false" customWidth="true" hidden="false" outlineLevel="0" max="2" min="2" style="0" width="21.86"/>
    <col collapsed="false" customWidth="true" hidden="false" outlineLevel="0" max="3" min="3" style="0" width="17.13"/>
    <col collapsed="false" customWidth="true" hidden="false" outlineLevel="0" max="4" min="4" style="0" width="13.58"/>
    <col collapsed="false" customWidth="true" hidden="false" outlineLevel="0" max="6" min="5" style="0" width="17.13"/>
    <col collapsed="false" customWidth="true" hidden="false" outlineLevel="0" max="7" min="7" style="0" width="13.58"/>
    <col collapsed="false" customWidth="true" hidden="false" outlineLevel="0" max="8" min="8" style="0" width="19.49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3.8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8.3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.7" hidden="false" customHeight="fals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28.35" hidden="false" customHeight="true" outlineLevel="0" collapsed="false">
      <c r="A6" s="5" t="s">
        <v>4</v>
      </c>
      <c r="B6" s="5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</row>
    <row r="7" customFormat="false" ht="15.65" hidden="false" customHeight="false" outlineLevel="0" collapsed="false">
      <c r="A7" s="7" t="s">
        <v>12</v>
      </c>
      <c r="B7" s="7" t="s">
        <v>13</v>
      </c>
      <c r="C7" s="8" t="n">
        <v>4600000</v>
      </c>
      <c r="D7" s="9" t="n">
        <f aca="false">C7/C$17</f>
        <v>0.46</v>
      </c>
      <c r="E7" s="7"/>
      <c r="F7" s="10" t="n">
        <f aca="false">C7+E7</f>
        <v>4600000</v>
      </c>
      <c r="G7" s="9" t="n">
        <f aca="false">F7/F$17</f>
        <v>0.368</v>
      </c>
      <c r="H7" s="7" t="s">
        <v>14</v>
      </c>
    </row>
    <row r="8" customFormat="false" ht="15.65" hidden="false" customHeight="false" outlineLevel="0" collapsed="false">
      <c r="A8" s="7" t="s">
        <v>15</v>
      </c>
      <c r="B8" s="7" t="s">
        <v>13</v>
      </c>
      <c r="C8" s="8" t="n">
        <v>3400000</v>
      </c>
      <c r="D8" s="9" t="n">
        <f aca="false">C8/C$17</f>
        <v>0.34</v>
      </c>
      <c r="E8" s="7"/>
      <c r="F8" s="10" t="n">
        <f aca="false">C8+E8</f>
        <v>3400000</v>
      </c>
      <c r="G8" s="9" t="n">
        <f aca="false">F8/F$17</f>
        <v>0.272</v>
      </c>
      <c r="H8" s="7" t="s">
        <v>14</v>
      </c>
    </row>
    <row r="9" customFormat="false" ht="15.65" hidden="false" customHeight="false" outlineLevel="0" collapsed="false">
      <c r="A9" s="7" t="s">
        <v>16</v>
      </c>
      <c r="B9" s="7" t="s">
        <v>13</v>
      </c>
      <c r="C9" s="8" t="n">
        <v>600000</v>
      </c>
      <c r="D9" s="9" t="n">
        <f aca="false">C9/C$17</f>
        <v>0.06</v>
      </c>
      <c r="E9" s="7"/>
      <c r="F9" s="10" t="n">
        <f aca="false">C9+E9</f>
        <v>600000</v>
      </c>
      <c r="G9" s="9" t="n">
        <f aca="false">F9/F$17</f>
        <v>0.048</v>
      </c>
      <c r="H9" s="7" t="s">
        <v>14</v>
      </c>
    </row>
    <row r="10" customFormat="false" ht="15.65" hidden="false" customHeight="false" outlineLevel="0" collapsed="false">
      <c r="A10" s="7" t="s">
        <v>17</v>
      </c>
      <c r="B10" s="7" t="s">
        <v>13</v>
      </c>
      <c r="C10" s="8" t="n">
        <v>400000</v>
      </c>
      <c r="D10" s="9" t="n">
        <f aca="false">C10/C$17</f>
        <v>0.04</v>
      </c>
      <c r="E10" s="7"/>
      <c r="F10" s="10" t="n">
        <f aca="false">C10+E10</f>
        <v>400000</v>
      </c>
      <c r="G10" s="9" t="n">
        <f aca="false">F10/F$17</f>
        <v>0.032</v>
      </c>
      <c r="H10" s="7" t="s">
        <v>14</v>
      </c>
    </row>
    <row r="11" customFormat="false" ht="15.65" hidden="false" customHeight="false" outlineLevel="0" collapsed="false">
      <c r="A11" s="11" t="s">
        <v>18</v>
      </c>
      <c r="B11" s="11" t="s">
        <v>14</v>
      </c>
      <c r="C11" s="12" t="n">
        <f aca="false">SUM(C7:C10)</f>
        <v>9000000</v>
      </c>
      <c r="D11" s="13" t="n">
        <f aca="false">C11/C$17</f>
        <v>0.9</v>
      </c>
      <c r="E11" s="11" t="s">
        <v>14</v>
      </c>
      <c r="F11" s="12" t="n">
        <f aca="false">SUM(F7:F10)</f>
        <v>9000000</v>
      </c>
      <c r="G11" s="13" t="n">
        <f aca="false">F11/F$17</f>
        <v>0.72</v>
      </c>
      <c r="H11" s="11" t="s">
        <v>14</v>
      </c>
    </row>
    <row r="12" customFormat="false" ht="15.65" hidden="false" customHeight="false" outlineLevel="0" collapsed="false">
      <c r="A12" s="7" t="s">
        <v>19</v>
      </c>
      <c r="B12" s="7" t="s">
        <v>20</v>
      </c>
      <c r="C12" s="8" t="n">
        <v>640000</v>
      </c>
      <c r="D12" s="9" t="n">
        <f aca="false">C12/C$17</f>
        <v>0.064</v>
      </c>
      <c r="E12" s="7"/>
      <c r="F12" s="10" t="n">
        <f aca="false">C12+E12</f>
        <v>640000</v>
      </c>
      <c r="G12" s="9" t="n">
        <f aca="false">F12/F$17</f>
        <v>0.0512</v>
      </c>
      <c r="H12" s="7" t="s">
        <v>14</v>
      </c>
    </row>
    <row r="13" customFormat="false" ht="15.65" hidden="false" customHeight="false" outlineLevel="0" collapsed="false">
      <c r="A13" s="7" t="s">
        <v>21</v>
      </c>
      <c r="B13" s="7" t="s">
        <v>20</v>
      </c>
      <c r="C13" s="8" t="n">
        <v>360000</v>
      </c>
      <c r="D13" s="9" t="n">
        <f aca="false">C13/C$17</f>
        <v>0.036</v>
      </c>
      <c r="E13" s="7"/>
      <c r="F13" s="10" t="n">
        <f aca="false">C13+E13</f>
        <v>360000</v>
      </c>
      <c r="G13" s="9" t="n">
        <f aca="false">F13/F$17</f>
        <v>0.0288</v>
      </c>
      <c r="H13" s="7" t="s">
        <v>14</v>
      </c>
    </row>
    <row r="14" customFormat="false" ht="15.65" hidden="false" customHeight="false" outlineLevel="0" collapsed="false">
      <c r="A14" s="11" t="s">
        <v>22</v>
      </c>
      <c r="B14" s="11" t="s">
        <v>14</v>
      </c>
      <c r="C14" s="12" t="n">
        <f aca="false">SUM(C12:C13)</f>
        <v>1000000</v>
      </c>
      <c r="D14" s="13" t="n">
        <f aca="false">C14/C$17</f>
        <v>0.1</v>
      </c>
      <c r="E14" s="11" t="s">
        <v>14</v>
      </c>
      <c r="F14" s="12" t="n">
        <f aca="false">SUM(F12:F13)</f>
        <v>1000000</v>
      </c>
      <c r="G14" s="13" t="n">
        <f aca="false">F14/F$17</f>
        <v>0.08</v>
      </c>
      <c r="H14" s="11" t="s">
        <v>14</v>
      </c>
    </row>
    <row r="15" customFormat="false" ht="15.65" hidden="false" customHeight="false" outlineLevel="0" collapsed="false">
      <c r="A15" s="7" t="s">
        <v>23</v>
      </c>
      <c r="B15" s="7" t="s">
        <v>24</v>
      </c>
      <c r="C15" s="8" t="n">
        <v>0</v>
      </c>
      <c r="D15" s="9" t="n">
        <f aca="false">C15/C$17</f>
        <v>0</v>
      </c>
      <c r="E15" s="8" t="n">
        <v>1875000</v>
      </c>
      <c r="F15" s="10" t="n">
        <f aca="false">C15+E15</f>
        <v>1875000</v>
      </c>
      <c r="G15" s="9" t="n">
        <f aca="false">F15/F$17</f>
        <v>0.15</v>
      </c>
      <c r="H15" s="14" t="n">
        <f aca="false">E15*$C$20</f>
        <v>3000000</v>
      </c>
    </row>
    <row r="16" customFormat="false" ht="15.65" hidden="false" customHeight="false" outlineLevel="0" collapsed="false">
      <c r="A16" s="7" t="s">
        <v>25</v>
      </c>
      <c r="B16" s="7" t="s">
        <v>24</v>
      </c>
      <c r="C16" s="8" t="n">
        <v>0</v>
      </c>
      <c r="D16" s="9" t="n">
        <f aca="false">C16/C$17</f>
        <v>0</v>
      </c>
      <c r="E16" s="8" t="n">
        <v>625000</v>
      </c>
      <c r="F16" s="10" t="n">
        <f aca="false">C16+E16</f>
        <v>625000</v>
      </c>
      <c r="G16" s="9" t="n">
        <f aca="false">F16/F$17</f>
        <v>0.05</v>
      </c>
      <c r="H16" s="14" t="n">
        <f aca="false">E16*$C$20</f>
        <v>1000000</v>
      </c>
    </row>
    <row r="17" customFormat="false" ht="17.15" hidden="false" customHeight="false" outlineLevel="0" collapsed="false">
      <c r="A17" s="15" t="s">
        <v>26</v>
      </c>
      <c r="B17" s="15" t="s">
        <v>14</v>
      </c>
      <c r="C17" s="16" t="n">
        <f aca="false">C11+C14+SUM(C15:C16)</f>
        <v>10000000</v>
      </c>
      <c r="D17" s="17" t="n">
        <f aca="false">C17/C$17</f>
        <v>1</v>
      </c>
      <c r="E17" s="16" t="n">
        <f aca="false">SUM(E15:E16)</f>
        <v>2500000</v>
      </c>
      <c r="F17" s="16" t="n">
        <f aca="false">F11+F14+SUM(F15:F16)</f>
        <v>12500000</v>
      </c>
      <c r="G17" s="17" t="n">
        <f aca="false">F17/F$17</f>
        <v>1</v>
      </c>
      <c r="H17" s="18" t="n">
        <f aca="false">SUM(H15:H16)</f>
        <v>4000000</v>
      </c>
    </row>
    <row r="19" customFormat="false" ht="15.7" hidden="false" customHeight="false" outlineLevel="0" collapsed="false">
      <c r="A19" s="4" t="s">
        <v>27</v>
      </c>
      <c r="B19" s="4"/>
      <c r="C19" s="4"/>
      <c r="D19" s="4"/>
      <c r="E19" s="4"/>
      <c r="F19" s="4"/>
      <c r="G19" s="4"/>
      <c r="H19" s="4"/>
    </row>
    <row r="20" customFormat="false" ht="15.65" hidden="false" customHeight="true" outlineLevel="0" collapsed="false">
      <c r="A20" s="7" t="s">
        <v>28</v>
      </c>
      <c r="B20" s="7"/>
      <c r="C20" s="19" t="n">
        <v>1.6</v>
      </c>
      <c r="D20" s="20" t="s">
        <v>14</v>
      </c>
      <c r="E20" s="20"/>
      <c r="F20" s="20"/>
      <c r="G20" s="20"/>
      <c r="H20" s="20"/>
    </row>
    <row r="21" customFormat="false" ht="15.65" hidden="false" customHeight="true" outlineLevel="0" collapsed="false">
      <c r="A21" s="7" t="s">
        <v>29</v>
      </c>
      <c r="B21" s="7"/>
      <c r="C21" s="10" t="n">
        <f aca="false">E17</f>
        <v>2500000</v>
      </c>
      <c r="D21" s="20" t="s">
        <v>14</v>
      </c>
      <c r="E21" s="20"/>
      <c r="F21" s="20"/>
      <c r="G21" s="20"/>
      <c r="H21" s="20"/>
    </row>
    <row r="22" customFormat="false" ht="15.65" hidden="false" customHeight="true" outlineLevel="0" collapsed="false">
      <c r="A22" s="7" t="s">
        <v>30</v>
      </c>
      <c r="B22" s="7"/>
      <c r="C22" s="14" t="n">
        <f aca="false">C21*C20</f>
        <v>4000000</v>
      </c>
      <c r="D22" s="20" t="s">
        <v>14</v>
      </c>
      <c r="E22" s="20"/>
      <c r="F22" s="20"/>
      <c r="G22" s="20"/>
      <c r="H22" s="20"/>
    </row>
    <row r="23" customFormat="false" ht="15.65" hidden="false" customHeight="true" outlineLevel="0" collapsed="false">
      <c r="A23" s="21" t="s">
        <v>31</v>
      </c>
      <c r="B23" s="21"/>
      <c r="C23" s="22" t="n">
        <f aca="false">C17*C20</f>
        <v>16000000</v>
      </c>
      <c r="D23" s="23" t="s">
        <v>14</v>
      </c>
      <c r="E23" s="23"/>
      <c r="F23" s="23"/>
      <c r="G23" s="23"/>
      <c r="H23" s="23"/>
    </row>
    <row r="24" customFormat="false" ht="15.65" hidden="false" customHeight="true" outlineLevel="0" collapsed="false">
      <c r="A24" s="21" t="s">
        <v>32</v>
      </c>
      <c r="B24" s="21"/>
      <c r="C24" s="22" t="n">
        <f aca="false">F17*C20</f>
        <v>20000000</v>
      </c>
      <c r="D24" s="23" t="s">
        <v>14</v>
      </c>
      <c r="E24" s="23"/>
      <c r="F24" s="23"/>
      <c r="G24" s="23"/>
      <c r="H24" s="23"/>
    </row>
    <row r="25" customFormat="false" ht="15.65" hidden="false" customHeight="true" outlineLevel="0" collapsed="false">
      <c r="A25" s="7" t="s">
        <v>33</v>
      </c>
      <c r="B25" s="7"/>
      <c r="C25" s="9" t="n">
        <f aca="false">C21/F17</f>
        <v>0.2</v>
      </c>
      <c r="D25" s="20" t="s">
        <v>14</v>
      </c>
      <c r="E25" s="20"/>
      <c r="F25" s="20"/>
      <c r="G25" s="20"/>
      <c r="H25" s="20"/>
    </row>
    <row r="26" customFormat="false" ht="17.15" hidden="false" customHeight="true" outlineLevel="0" collapsed="false">
      <c r="A26" s="15" t="s">
        <v>34</v>
      </c>
      <c r="B26" s="15"/>
      <c r="C26" s="18" t="n">
        <f aca="false">C24-C23-C22</f>
        <v>0</v>
      </c>
      <c r="D26" s="24" t="s">
        <v>14</v>
      </c>
      <c r="E26" s="24"/>
      <c r="F26" s="24"/>
      <c r="G26" s="24"/>
      <c r="H26" s="24"/>
    </row>
    <row r="28" customFormat="false" ht="13.8" hidden="false" customHeight="false" outlineLevel="0" collapsed="false">
      <c r="A28" s="2" t="s">
        <v>35</v>
      </c>
      <c r="B28" s="2"/>
      <c r="C28" s="2"/>
      <c r="D28" s="2"/>
      <c r="E28" s="2"/>
      <c r="F28" s="2"/>
      <c r="G28" s="2"/>
      <c r="H28" s="2"/>
    </row>
    <row r="29" customFormat="false" ht="17" hidden="false" customHeight="true" outlineLevel="0" collapsed="false">
      <c r="A29" s="3" t="s">
        <v>36</v>
      </c>
      <c r="B29" s="3"/>
      <c r="C29" s="3"/>
      <c r="D29" s="3"/>
      <c r="E29" s="3"/>
      <c r="F29" s="3"/>
      <c r="G29" s="3"/>
      <c r="H29" s="3"/>
    </row>
    <row r="30" customFormat="false" ht="17" hidden="false" customHeight="true" outlineLevel="0" collapsed="false">
      <c r="A30" s="3" t="s">
        <v>37</v>
      </c>
      <c r="B30" s="3"/>
      <c r="C30" s="3"/>
      <c r="D30" s="3"/>
      <c r="E30" s="3"/>
      <c r="F30" s="3"/>
      <c r="G30" s="3"/>
      <c r="H30" s="3"/>
    </row>
    <row r="31" customFormat="false" ht="17" hidden="false" customHeight="true" outlineLevel="0" collapsed="false">
      <c r="A31" s="3" t="s">
        <v>38</v>
      </c>
      <c r="B31" s="3"/>
      <c r="C31" s="3"/>
      <c r="D31" s="3"/>
      <c r="E31" s="3"/>
      <c r="F31" s="3"/>
      <c r="G31" s="3"/>
      <c r="H31" s="3"/>
    </row>
  </sheetData>
  <mergeCells count="23">
    <mergeCell ref="A1:H1"/>
    <mergeCell ref="A2:H2"/>
    <mergeCell ref="A3:H3"/>
    <mergeCell ref="A5:H5"/>
    <mergeCell ref="A19:H19"/>
    <mergeCell ref="A20:B20"/>
    <mergeCell ref="D20:H20"/>
    <mergeCell ref="A21:B21"/>
    <mergeCell ref="D21:H21"/>
    <mergeCell ref="A22:B22"/>
    <mergeCell ref="D22:H22"/>
    <mergeCell ref="A23:B23"/>
    <mergeCell ref="D23:H23"/>
    <mergeCell ref="A24:B24"/>
    <mergeCell ref="D24:H24"/>
    <mergeCell ref="A25:B25"/>
    <mergeCell ref="D25:H25"/>
    <mergeCell ref="A26:B26"/>
    <mergeCell ref="D26:H26"/>
    <mergeCell ref="A28:H28"/>
    <mergeCell ref="A29:H29"/>
    <mergeCell ref="A30:H30"/>
    <mergeCell ref="A31:H31"/>
  </mergeCells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LibreOffice/26.2.6.3$Linux_AARCH64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2026-09-24T09:40:00Z</dcterms:created>
  <dc:creator>Ines Kowalczyk</dc:creator>
  <dc:description/>
  <dc:language>en-GB</dc:language>
  <cp:lastModifiedBy>Ines Kowalczyk</cp:lastModifiedBy>
  <dcterms:modified xsi:type="dcterms:W3CDTF">2026-09-24T10:52:00Z</dcterms:modified>
  <cp:revision>0</cp:revision>
  <dc:subject/>
  <dc:title>Kestrel Software Ltd – Capitalisation Table – Series A</dc:title>
</cp:coreProperties>
</file>