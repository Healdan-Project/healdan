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raisa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<sst xmlns="http://schemas.openxmlformats.org/spreadsheetml/2006/main" count="34" uniqueCount="28">
  <si>
    <t xml:space="preserve">Appraisals and salary review 2026</t>
  </si>
  <si>
    <t xml:space="preserve">As at 24 September 2026 – for the partners only</t>
  </si>
  <si>
    <t xml:space="preserve">Prepared by Tom Reeve. Each self-assessment is due a week before its appraisal. Blue figures are inputs; the rest are worked out. The guide is each salary’s share of the overall budget, and the partners will settle the actual figures after the appraisals.</t>
  </si>
  <si>
    <t xml:space="preserve">Timetable and review budget</t>
  </si>
  <si>
    <t xml:space="preserve">Days before the appraisal that the self-assessment is due</t>
  </si>
  <si>
    <t xml:space="preserve"/>
  </si>
  <si>
    <t xml:space="preserve">Overall budget, as a percentage of current salaries</t>
  </si>
  <si>
    <t xml:space="preserve">Date the review takes effect</t>
  </si>
  <si>
    <t xml:space="preserve">Name</t>
  </si>
  <si>
    <t xml:space="preserve">Role</t>
  </si>
  <si>
    <t xml:space="preserve">Appraiser</t>
  </si>
  <si>
    <t xml:space="preserve">Appraisal</t>
  </si>
  <si>
    <t xml:space="preserve">Self-assessment due</t>
  </si>
  <si>
    <t xml:space="preserve">Current salary</t>
  </si>
  <si>
    <t xml:space="preserve">Guide at the budget rate</t>
  </si>
  <si>
    <t xml:space="preserve">Priya Nair</t>
  </si>
  <si>
    <t xml:space="preserve">Associate</t>
  </si>
  <si>
    <t xml:space="preserve">Helen Ashcombe</t>
  </si>
  <si>
    <t xml:space="preserve">Jamie Clarke</t>
  </si>
  <si>
    <t xml:space="preserve">Paralegal</t>
  </si>
  <si>
    <t xml:space="preserve">Tom Reeve</t>
  </si>
  <si>
    <t xml:space="preserve">Chris Doyle</t>
  </si>
  <si>
    <t xml:space="preserve">Legal Assistant</t>
  </si>
  <si>
    <t xml:space="preserve">Sam Okafor</t>
  </si>
  <si>
    <t xml:space="preserve">IT and Office Manager</t>
  </si>
  <si>
    <t xml:space="preserve">Total</t>
  </si>
  <si>
    <t xml:space="preserve">Overall budget (total salaries × budget percentage)</t>
  </si>
  <si>
    <t xml:space="preserve">Check: the guides less the overall budget (nil)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</si>
</sst>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#"/>
    <numFmt numFmtId="166" formatCode="0"/>
    <numFmt numFmtId="167" formatCode="[$£-809]#,##0.00"/>
    <numFmt numFmtId="168" formatCode="0.#%"/>
    <numFmt numFmtId="169" formatCode="d\ mmm\ yyyy"/>
    <numFmt numFmtId="170" formatCode="#,##0"/>
    <numFmt numFmtId="171" formatCode="0.00%"/>
    <numFmt numFmtId="172" formatCode="ddd\ d\ mmm\ yyyy"/>
  </numFmts>
  <fonts count="12">
    <font>
      <sz val="9.5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D4E5F"/>
      <name val="Calibri"/>
      <family val="2"/>
    </font>
    <font>
      <sz val="9.5"/>
      <color rgb="FF333333"/>
      <name val="Calibri"/>
      <family val="2"/>
    </font>
    <font>
      <b val="true"/>
      <sz val="10.5"/>
      <color rgb="FFFFFFFF"/>
      <name val="Calibri"/>
      <family val="2"/>
    </font>
    <font>
      <b val="true"/>
      <sz val="9.5"/>
      <name val="Calibri"/>
      <family val="2"/>
    </font>
    <font>
      <sz val="9.5"/>
      <color rgb="FF0B3D91"/>
      <name val="Calibri"/>
      <family val="2"/>
    </font>
    <font>
      <b val="true"/>
      <sz val="10.5"/>
      <name val="Calibri"/>
      <family val="2"/>
    </font>
    <font>
      <b val="true"/>
      <sz val="11"/>
      <color rgb="FFFFFFFF"/>
      <name val="Calibri"/>
      <family val="2"/>
    </font>
    <font>
      <b val="true"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D4E5F"/>
        <bgColor rgb="FF0B3D91"/>
      </patternFill>
    </fill>
    <fill>
      <patternFill patternType="solid">
        <fgColor rgb="FFE6EEF0"/>
        <bgColor rgb="FFDFF0E0"/>
      </patternFill>
    </fill>
    <fill>
      <patternFill patternType="solid">
        <fgColor rgb="FFFFF3D1"/>
        <bgColor rgb="FFFFF1C9"/>
      </patternFill>
    </fill>
    <fill>
      <patternFill patternType="solid">
        <fgColor rgb="FFDFF0E0"/>
        <bgColor rgb="FFE6EEF0"/>
      </patternFill>
    </fill>
    <fill>
      <patternFill patternType="solid">
        <fgColor rgb="FFFFF1C9"/>
        <bgColor rgb="FFFFF3D1"/>
      </patternFill>
    </fill>
    <fill>
      <patternFill patternType="solid">
        <fgColor rgb="FFF7D9D4"/>
        <bgColor rgb="FFFFF1C9"/>
      </patternFill>
    </fill>
    <fill>
      <patternFill patternType="solid">
        <fgColor rgb="FFD9E4F5"/>
        <bgColor rgb="FFE6EEF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D4E5F"/>
      </bottom>
      <diagonal/>
    </border>
    <border diagonalUp="false" diagonalDown="false">
      <left/>
      <right/>
      <top/>
      <bottom style="hair">
        <color rgb="FFCCCCCC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>
        <color rgb="FF1D4E5F"/>
      </top>
      <bottom style="hair">
        <color rgb="FF1D4E5F"/>
      </bottom>
      <diagonal/>
    </border>
  </borders>
  <cellStyleXfs count="7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top" textRotation="0" wrapText="true" indent="0" shrinkToFit="false"/>
    </xf>
    <xf numFmtId="164" fontId="5" fillId="0" borderId="0" applyFont="true" applyBorder="false" applyAlignment="true" applyProtection="false">
      <alignment horizontal="general" vertical="top" textRotation="0" wrapText="true" indent="0" shrinkToFit="false"/>
    </xf>
    <xf numFmtId="164" fontId="6" fillId="2" borderId="0" applyFont="true" applyBorder="false" applyAlignment="false" applyProtection="false"/>
    <xf numFmtId="164" fontId="7" fillId="3" borderId="1" applyFont="true" applyBorder="true" applyAlignment="true" applyProtection="false">
      <alignment horizontal="general" vertical="bottom" textRotation="0" wrapText="true" indent="0" shrinkToFit="false"/>
    </xf>
    <xf numFmtId="164" fontId="7" fillId="3" borderId="1" applyFont="true" applyBorder="true" applyAlignment="true" applyProtection="false">
      <alignment horizontal="right" vertical="bottom" textRotation="0" wrapText="true" indent="0" shrinkToFit="false"/>
    </xf>
    <xf numFmtId="164" fontId="7" fillId="3" borderId="1" applyFont="true" applyBorder="true" applyAlignment="true" applyProtection="false">
      <alignment horizontal="center" vertical="bottom" textRotation="0" wrapText="true" indent="0" shrinkToFit="false"/>
    </xf>
    <xf numFmtId="164" fontId="0" fillId="0" borderId="2" applyFont="false" applyBorder="true" applyAlignment="true" applyProtection="false">
      <alignment horizontal="general" vertical="bottom" textRotation="0" wrapText="true" indent="0" shrinkToFit="false"/>
    </xf>
    <xf numFmtId="164" fontId="0" fillId="0" borderId="2" applyFont="false" applyBorder="true" applyAlignment="true" applyProtection="false">
      <alignment horizontal="general" vertical="bottom" textRotation="0" wrapText="true" indent="0" shrinkToFit="false"/>
    </xf>
    <xf numFmtId="164" fontId="7" fillId="3" borderId="1" applyFont="true" applyBorder="true" applyAlignment="true" applyProtection="false">
      <alignment horizontal="general" vertical="bottom" textRotation="0" wrapText="true" indent="0" shrinkToFit="false"/>
    </xf>
    <xf numFmtId="164" fontId="0" fillId="0" borderId="2" applyFont="false" applyBorder="true" applyAlignment="true" applyProtection="false">
      <alignment horizontal="center" vertical="bottom" textRotation="0" wrapText="true" indent="0" shrinkToFit="false"/>
    </xf>
    <xf numFmtId="165" fontId="0" fillId="0" borderId="2" applyFont="false" applyBorder="true" applyAlignment="true" applyProtection="false">
      <alignment horizontal="general" vertical="bottom" textRotation="0" wrapText="true" indent="0" shrinkToFit="false"/>
    </xf>
    <xf numFmtId="166" fontId="0" fillId="0" borderId="2" applyFont="false" applyBorder="true" applyAlignment="true" applyProtection="false">
      <alignment horizontal="right" vertical="bottom" textRotation="0" wrapText="true" indent="0" shrinkToFit="false"/>
    </xf>
    <xf numFmtId="167" fontId="0" fillId="0" borderId="2" applyFont="false" applyBorder="true" applyAlignment="true" applyProtection="false">
      <alignment horizontal="general" vertical="bottom" textRotation="0" wrapText="true" indent="0" shrinkToFit="false"/>
    </xf>
    <xf numFmtId="167" fontId="8" fillId="0" borderId="2" applyFont="true" applyBorder="true" applyAlignment="true" applyProtection="false">
      <alignment horizontal="general" vertical="bottom" textRotation="0" wrapText="true" indent="0" shrinkToFit="false"/>
    </xf>
    <xf numFmtId="168" fontId="0" fillId="0" borderId="2" applyFont="false" applyBorder="true" applyAlignment="true" applyProtection="false">
      <alignment horizontal="general" vertical="bottom" textRotation="0" wrapText="true" indent="0" shrinkToFit="false"/>
    </xf>
    <xf numFmtId="168" fontId="8" fillId="0" borderId="2" applyFont="true" applyBorder="true" applyAlignment="true" applyProtection="false">
      <alignment horizontal="general" vertical="bottom" textRotation="0" wrapText="true" indent="0" shrinkToFit="false"/>
    </xf>
    <xf numFmtId="169" fontId="0" fillId="0" borderId="2" applyFont="false" applyBorder="true" applyAlignment="true" applyProtection="false">
      <alignment horizontal="right" vertical="bottom" textRotation="0" wrapText="true" indent="0" shrinkToFit="false"/>
    </xf>
    <xf numFmtId="169" fontId="8" fillId="0" borderId="2" applyFont="true" applyBorder="true" applyAlignment="true" applyProtection="false">
      <alignment horizontal="right" vertical="bottom" textRotation="0" wrapText="true" indent="0" shrinkToFit="false"/>
    </xf>
    <xf numFmtId="164" fontId="7" fillId="4" borderId="2" applyFont="true" applyBorder="true" applyAlignment="true" applyProtection="false">
      <alignment horizontal="general" vertical="bottom" textRotation="0" wrapText="true" indent="0" shrinkToFit="false"/>
    </xf>
    <xf numFmtId="167" fontId="7" fillId="4" borderId="2" applyFont="true" applyBorder="true" applyAlignment="true" applyProtection="false">
      <alignment horizontal="general" vertical="bottom" textRotation="0" wrapText="true" indent="0" shrinkToFit="false"/>
    </xf>
    <xf numFmtId="168" fontId="7" fillId="4" borderId="2" applyFont="true" applyBorder="true" applyAlignment="true" applyProtection="false">
      <alignment horizontal="general" vertical="bottom" textRotation="0" wrapText="true" indent="0" shrinkToFit="false"/>
    </xf>
    <xf numFmtId="164" fontId="7" fillId="0" borderId="3" applyFont="true" applyBorder="true" applyAlignment="true" applyProtection="false">
      <alignment horizontal="general" vertical="bottom" textRotation="0" wrapText="true" indent="0" shrinkToFit="false"/>
    </xf>
    <xf numFmtId="167" fontId="7" fillId="0" borderId="3" applyFont="true" applyBorder="true" applyAlignment="true" applyProtection="false">
      <alignment horizontal="general" vertical="bottom" textRotation="0" wrapText="true" indent="0" shrinkToFit="false"/>
    </xf>
    <xf numFmtId="168" fontId="7" fillId="0" borderId="3" applyFont="true" applyBorder="true" applyAlignment="true" applyProtection="false">
      <alignment horizontal="general" vertical="bottom" textRotation="0" wrapText="true" indent="0" shrinkToFit="false"/>
    </xf>
    <xf numFmtId="164" fontId="9" fillId="3" borderId="4" applyFont="true" applyBorder="true" applyAlignment="true" applyProtection="false">
      <alignment horizontal="general" vertical="bottom" textRotation="0" wrapText="true" indent="0" shrinkToFit="false"/>
    </xf>
    <xf numFmtId="167" fontId="9" fillId="3" borderId="4" applyFont="true" applyBorder="true" applyAlignment="true" applyProtection="false">
      <alignment horizontal="general" vertical="bottom" textRotation="0" wrapText="true" indent="0" shrinkToFit="false"/>
    </xf>
    <xf numFmtId="168" fontId="9" fillId="3" borderId="4" applyFont="true" applyBorder="true" applyAlignment="true" applyProtection="false">
      <alignment horizontal="general" vertical="bottom" textRotation="0" wrapText="true" indent="0" shrinkToFit="false"/>
    </xf>
    <xf numFmtId="164" fontId="10" fillId="2" borderId="0" applyFont="true" applyBorder="false" applyAlignment="false" applyProtection="false"/>
    <xf numFmtId="167" fontId="10" fillId="2" borderId="0" applyFont="true" applyBorder="false" applyAlignment="true" applyProtection="false">
      <alignment horizontal="right" vertical="bottom" textRotation="0" wrapText="false" indent="0" shrinkToFit="false"/>
    </xf>
    <xf numFmtId="170" fontId="0" fillId="0" borderId="2" applyFont="false" applyBorder="true" applyAlignment="true" applyProtection="false">
      <alignment horizontal="right" vertical="bottom" textRotation="0" wrapText="true" indent="0" shrinkToFit="false"/>
    </xf>
    <xf numFmtId="170" fontId="8" fillId="0" borderId="2" applyFont="true" applyBorder="true" applyAlignment="true" applyProtection="false">
      <alignment horizontal="right" vertical="bottom" textRotation="0" wrapText="true" indent="0" shrinkToFit="false"/>
    </xf>
    <xf numFmtId="170" fontId="7" fillId="0" borderId="3" applyFont="true" applyBorder="true" applyAlignment="true" applyProtection="false">
      <alignment horizontal="right" vertical="bottom" textRotation="0" wrapText="true" indent="0" shrinkToFit="false"/>
    </xf>
    <xf numFmtId="170" fontId="9" fillId="3" borderId="4" applyFont="true" applyBorder="true" applyAlignment="true" applyProtection="false">
      <alignment horizontal="right" vertical="bottom" textRotation="0" wrapText="true" indent="0" shrinkToFit="false"/>
    </xf>
    <xf numFmtId="171" fontId="0" fillId="0" borderId="2" applyFont="false" applyBorder="true" applyAlignment="true" applyProtection="false">
      <alignment horizontal="right" vertical="bottom" textRotation="0" wrapText="true" indent="0" shrinkToFit="false"/>
    </xf>
    <xf numFmtId="171" fontId="7" fillId="0" borderId="3" applyFont="true" applyBorder="true" applyAlignment="true" applyProtection="false">
      <alignment horizontal="right" vertical="bottom" textRotation="0" wrapText="true" indent="0" shrinkToFit="false"/>
    </xf>
    <xf numFmtId="171" fontId="9" fillId="3" borderId="4" applyFont="true" applyBorder="true" applyAlignment="true" applyProtection="false">
      <alignment horizontal="right" vertical="bottom" textRotation="0" wrapText="true" indent="0" shrinkToFit="false"/>
    </xf>
    <xf numFmtId="169" fontId="0" fillId="0" borderId="2" applyFont="false" applyBorder="true" applyAlignment="true" applyProtection="false">
      <alignment horizontal="center" vertical="bottom" textRotation="0" wrapText="true" indent="0" shrinkToFit="false"/>
    </xf>
    <xf numFmtId="169" fontId="8" fillId="0" borderId="2" applyFont="true" applyBorder="true" applyAlignment="true" applyProtection="false">
      <alignment horizontal="center" vertical="bottom" textRotation="0" wrapText="true" indent="0" shrinkToFit="false"/>
    </xf>
    <xf numFmtId="172" fontId="0" fillId="0" borderId="2" applyFont="false" applyBorder="true" applyAlignment="true" applyProtection="false">
      <alignment horizontal="center" vertical="bottom" textRotation="0" wrapText="true" indent="0" shrinkToFit="false"/>
    </xf>
    <xf numFmtId="172" fontId="8" fillId="0" borderId="2" applyFont="true" applyBorder="true" applyAlignment="true" applyProtection="false">
      <alignment horizontal="center" vertical="bottom" textRotation="0" wrapText="true" indent="0" shrinkToFit="false"/>
    </xf>
    <xf numFmtId="166" fontId="0" fillId="0" borderId="2" applyFont="false" applyBorder="true" applyAlignment="true" applyProtection="false">
      <alignment horizontal="right" vertical="bottom" textRotation="0" wrapText="true" indent="0" shrinkToFit="false"/>
    </xf>
    <xf numFmtId="169" fontId="7" fillId="4" borderId="2" applyFont="true" applyBorder="true" applyAlignment="true" applyProtection="false">
      <alignment horizontal="center" vertical="bottom" textRotation="0" wrapText="true" indent="0" shrinkToFit="false"/>
    </xf>
    <xf numFmtId="166" fontId="7" fillId="4" borderId="2" applyFont="true" applyBorder="true" applyAlignment="true" applyProtection="false">
      <alignment horizontal="right" vertical="bottom" textRotation="0" wrapText="true" indent="0" shrinkToFit="false"/>
    </xf>
    <xf numFmtId="164" fontId="0" fillId="0" borderId="2" applyFont="false" applyBorder="true" applyAlignment="true" applyProtection="false">
      <alignment horizontal="general" vertical="bottom" textRotation="0" wrapText="true" indent="0" shrinkToFit="false"/>
    </xf>
    <xf numFmtId="164" fontId="0" fillId="0" borderId="2" applyFont="false" applyBorder="true" applyAlignment="true" applyProtection="false">
      <alignment horizontal="general" vertical="top" textRotation="0" wrapText="true" indent="0" shrinkToFit="false"/>
    </xf>
    <xf numFmtId="164" fontId="0" fillId="5" borderId="2" applyFont="false" applyBorder="true" applyAlignment="true" applyProtection="false">
      <alignment horizontal="center" vertical="top" textRotation="0" wrapText="true" indent="0" shrinkToFit="false"/>
    </xf>
    <xf numFmtId="164" fontId="0" fillId="6" borderId="2" applyFont="false" applyBorder="true" applyAlignment="true" applyProtection="false">
      <alignment horizontal="center" vertical="top" textRotation="0" wrapText="true" indent="0" shrinkToFit="false"/>
    </xf>
    <xf numFmtId="164" fontId="0" fillId="7" borderId="2" applyFont="false" applyBorder="true" applyAlignment="true" applyProtection="false">
      <alignment horizontal="center" vertical="top" textRotation="0" wrapText="true" indent="0" shrinkToFit="false"/>
    </xf>
    <xf numFmtId="164" fontId="0" fillId="8" borderId="2" applyFont="false" applyBorder="true" applyAlignment="true" applyProtection="false">
      <alignment horizontal="center" vertical="top" textRotation="0" wrapText="true" indent="0" shrinkToFit="false"/>
    </xf>
    <xf numFmtId="169" fontId="0" fillId="0" borderId="2" applyFont="false" applyBorder="true" applyAlignment="true" applyProtection="false">
      <alignment horizontal="center" vertical="top" textRotation="0" wrapText="true" indent="0" shrinkToFit="false"/>
    </xf>
    <xf numFmtId="170" fontId="9" fillId="3" borderId="4" applyFont="true" applyBorder="true" applyAlignment="true" applyProtection="false">
      <alignment horizontal="right" vertical="bottom" textRotation="0" wrapText="true" indent="0" shrinkToFit="false"/>
    </xf>
    <xf numFmtId="170" fontId="7" fillId="0" borderId="3" applyFont="true" applyBorder="true" applyAlignment="true" applyProtection="false">
      <alignment horizontal="right" vertical="bottom" textRotation="0" wrapText="true" indent="0" shrinkToFit="false"/>
    </xf>
    <xf numFmtId="170" fontId="0" fillId="0" borderId="2" applyFont="false" applyBorder="true" applyAlignment="true" applyProtection="false">
      <alignment horizontal="right" vertical="bottom" textRotation="0" wrapText="true" indent="0" shrinkToFit="false"/>
    </xf>
    <xf numFmtId="164" fontId="1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7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6" fillId="2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7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70" fontId="0" fillId="0" borderId="2" xfId="73" applyFont="false" applyBorder="false" applyAlignment="false" applyProtection="false">
      <alignment horizontal="right" vertical="bottom" textRotation="0" wrapText="true" indent="0" shrinkToFit="false"/>
      <protection locked="true" hidden="false"/>
    </xf>
    <xf numFmtId="171" fontId="0" fillId="0" borderId="2" xfId="54" applyFont="false" applyBorder="false" applyAlignment="false" applyProtection="false">
      <alignment horizontal="right" vertical="bottom" textRotation="0" wrapText="true" indent="0" shrinkToFit="false"/>
      <protection locked="true" hidden="false"/>
    </xf>
    <xf numFmtId="169" fontId="8" fillId="0" borderId="2" xfId="58" applyFont="false" applyBorder="false" applyAlignment="false" applyProtection="false">
      <alignment horizontal="center" vertical="bottom" textRotation="0" wrapText="true" indent="0" shrinkToFit="false"/>
      <protection locked="true" hidden="false"/>
    </xf>
    <xf numFmtId="164" fontId="7" fillId="3" borderId="1" xfId="24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7" fillId="3" borderId="1" xfId="26" applyFont="true" applyBorder="false" applyAlignment="false" applyProtection="false">
      <alignment horizontal="center" vertical="bottom" textRotation="0" wrapText="true" indent="0" shrinkToFit="false"/>
      <protection locked="true" hidden="false"/>
    </xf>
    <xf numFmtId="164" fontId="7" fillId="3" borderId="1" xfId="25" applyFont="true" applyBorder="false" applyAlignment="false" applyProtection="false">
      <alignment horizontal="right" vertical="bottom" textRotation="0" wrapText="true" indent="0" shrinkToFit="false"/>
      <protection locked="true" hidden="false"/>
    </xf>
    <xf numFmtId="172" fontId="8" fillId="0" borderId="2" xfId="60" applyFont="false" applyBorder="false" applyAlignment="false" applyProtection="false">
      <alignment horizontal="center" vertical="bottom" textRotation="0" wrapText="true" indent="0" shrinkToFit="false"/>
      <protection locked="true" hidden="false"/>
    </xf>
    <xf numFmtId="172" fontId="0" fillId="0" borderId="2" xfId="59" applyFont="false" applyBorder="false" applyAlignment="false" applyProtection="false">
      <alignment horizontal="center" vertical="bottom" textRotation="0" wrapText="true" indent="0" shrinkToFit="false"/>
      <protection locked="true" hidden="false"/>
    </xf>
    <xf numFmtId="167" fontId="8" fillId="0" borderId="2" xfId="34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7" fontId="0" fillId="0" borderId="2" xfId="33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9" fillId="3" borderId="4" xfId="45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7" fontId="9" fillId="3" borderId="4" xfId="46" applyFont="false" applyBorder="false" applyAlignment="false" applyProtection="false">
      <alignment horizontal="general" vertical="bottom" textRotation="0" wrapText="true" indent="0" shrinkToFit="false"/>
      <protection locked="true" hidden="false"/>
    </xf>
  </cellXfs>
  <cellStyles count="6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itle" xfId="20"/>
    <cellStyle name="TitleWrap" xfId="21"/>
    <cellStyle name="NoteWrap" xfId="22"/>
    <cellStyle name="Section" xfId="23"/>
    <cellStyle name="ColHead" xfId="24"/>
    <cellStyle name="ColHeadRight" xfId="25"/>
    <cellStyle name="ColHeadCentre" xfId="26"/>
    <cellStyle name="Row" xfId="27"/>
    <cellStyle name="RowPad" xfId="28"/>
    <cellStyle name="ColHeadPad" xfId="29"/>
    <cellStyle name="RowCentre" xfId="30"/>
    <cellStyle name="RowNum" xfId="31"/>
    <cellStyle name="RowInt" xfId="32"/>
    <cellStyle name="RowMoney" xfId="33"/>
    <cellStyle name="RowMoneyIn" xfId="34"/>
    <cellStyle name="RowPct" xfId="35"/>
    <cellStyle name="RowPctIn" xfId="36"/>
    <cellStyle name="RowDate" xfId="37"/>
    <cellStyle name="RowDateIn" xfId="38"/>
    <cellStyle name="HiRow" xfId="39"/>
    <cellStyle name="HiMoney" xfId="40"/>
    <cellStyle name="HiPct" xfId="41"/>
    <cellStyle name="Sub" xfId="42"/>
    <cellStyle name="SubMoney" xfId="43"/>
    <cellStyle name="SubPct" xfId="44"/>
    <cellStyle name="Total" xfId="45"/>
    <cellStyle name="TotalMoney" xfId="46"/>
    <cellStyle name="TotalPct" xfId="47"/>
    <cellStyle name="Due" xfId="48"/>
    <cellStyle name="DueMoney" xfId="49"/>
    <cellStyle name="RowShares" xfId="50"/>
    <cellStyle name="RowSharesIn" xfId="51"/>
    <cellStyle name="SubShares" xfId="52"/>
    <cellStyle name="TotalShares" xfId="53"/>
    <cellStyle name="RowPct2" xfId="54"/>
    <cellStyle name="SubPct2" xfId="55"/>
    <cellStyle name="TotalPct2" xfId="56"/>
    <cellStyle name="RowDateShort" xfId="57"/>
    <cellStyle name="RowDateShortIn" xfId="58"/>
    <cellStyle name="RowDateDow" xfId="59"/>
    <cellStyle name="RowDateDowIn" xfId="60"/>
    <cellStyle name="RowDays" xfId="61"/>
    <cellStyle name="HiDateShort" xfId="62"/>
    <cellStyle name="HiDays" xfId="63"/>
    <cellStyle name="RowNote" xfId="64"/>
    <cellStyle name="RowTop" xfId="65"/>
    <cellStyle name="StDone" xfId="66"/>
    <cellStyle name="StClient" xfId="67"/>
    <cellStyle name="StOpen" xfId="68"/>
    <cellStyle name="StPost" xfId="69"/>
    <cellStyle name="RowDateTop" xfId="70"/>
    <cellStyle name="TotalLabelCount" xfId="71"/>
    <cellStyle name="SubCount" xfId="72"/>
    <cellStyle name="RowCount" xfId="73"/>
    <cellStyle name="Heading" xfId="7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D1"/>
      <rgbColor rgb="FFE6EEF0"/>
      <rgbColor rgb="FF660066"/>
      <rgbColor rgb="FFFF8080"/>
      <rgbColor rgb="FF0066CC"/>
      <rgbColor rgb="FFD9E4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0E0"/>
      <rgbColor rgb="FFFFF1C9"/>
      <rgbColor rgb="FF99CCFF"/>
      <rgbColor rgb="FFFF99CC"/>
      <rgbColor rgb="FFCC99FF"/>
      <rgbColor rgb="FFF7D9D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D91"/>
      <rgbColor rgb="FF339966"/>
      <rgbColor rgb="FF003300"/>
      <rgbColor rgb="FF333300"/>
      <rgbColor rgb="FF993300"/>
      <rgbColor rgb="FF993366"/>
      <rgbColor rgb="FF1D4E5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3359375" defaultRowHeight="12.8" customHeight="false" zeroHeight="false" outlineLevelRow="0" outlineLevelCol="0"/>
  <cols>
    <col collapsed="false" customWidth="true" hidden="false" outlineLevel="0" max="1" min="1" style="0" width="21.26"/>
    <col collapsed="false" customWidth="true" hidden="false" outlineLevel="0" max="2" min="2" style="0" width="27.17"/>
    <col collapsed="false" customWidth="true" hidden="false" outlineLevel="0" max="4" min="3" style="0" width="21.26"/>
    <col collapsed="false" customWidth="true" hidden="false" outlineLevel="0" max="5" min="5" style="0" width="20.08"/>
    <col collapsed="false" customWidth="true" hidden="false" outlineLevel="0" max="6" min="6" style="0" width="18.9"/>
    <col collapsed="false" customWidth="true" hidden="false" outlineLevel="0" max="7" min="7" style="0" width="20.0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3.8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6.8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.7" hidden="false" customHeight="false" outlineLevel="0" collapsed="false">
      <c r="A5" s="4" t="s">
        <v>3</v>
      </c>
      <c r="B5" s="4"/>
      <c r="C5" s="4"/>
      <c r="D5" s="4"/>
      <c r="E5" s="4"/>
      <c r="F5" s="4"/>
      <c r="G5" s="4"/>
    </row>
    <row r="6" customFormat="false" ht="15.65" hidden="false" customHeight="true" outlineLevel="0" collapsed="false">
      <c r="A6" s="5" t="s">
        <v>4</v>
      </c>
      <c r="B6" s="5"/>
      <c r="C6" s="5"/>
      <c r="D6" s="6" t="n">
        <v>7</v>
      </c>
      <c r="E6" s="5" t="s">
        <v>5</v>
      </c>
      <c r="F6" s="5"/>
      <c r="G6" s="5"/>
    </row>
    <row r="7" customFormat="false" ht="15.65" hidden="false" customHeight="true" outlineLevel="0" collapsed="false">
      <c r="A7" s="5" t="s">
        <v>6</v>
      </c>
      <c r="B7" s="5"/>
      <c r="C7" s="5"/>
      <c r="D7" s="7" t="n">
        <v>0.06</v>
      </c>
      <c r="E7" s="5" t="s">
        <v>5</v>
      </c>
      <c r="F7" s="5"/>
      <c r="G7" s="5"/>
    </row>
    <row r="8" customFormat="false" ht="15.65" hidden="false" customHeight="true" outlineLevel="0" collapsed="false">
      <c r="A8" s="5" t="s">
        <v>7</v>
      </c>
      <c r="B8" s="5"/>
      <c r="C8" s="5"/>
      <c r="D8" s="8" t="n">
        <v>46327</v>
      </c>
      <c r="E8" s="5" t="s">
        <v>5</v>
      </c>
      <c r="F8" s="5"/>
      <c r="G8" s="5"/>
    </row>
    <row r="10" customFormat="false" ht="28.35" hidden="false" customHeight="true" outlineLevel="0" collapsed="false">
      <c r="A10" s="9" t="s">
        <v>8</v>
      </c>
      <c r="B10" s="9" t="s">
        <v>9</v>
      </c>
      <c r="C10" s="9" t="s">
        <v>10</v>
      </c>
      <c r="D10" s="10" t="s">
        <v>11</v>
      </c>
      <c r="E10" s="10" t="s">
        <v>12</v>
      </c>
      <c r="F10" s="11" t="s">
        <v>13</v>
      </c>
      <c r="G10" s="11" t="s">
        <v>14</v>
      </c>
    </row>
    <row r="11" customFormat="false" ht="15.65" hidden="false" customHeight="false" outlineLevel="0" collapsed="false">
      <c r="A11" s="5" t="s">
        <v>15</v>
      </c>
      <c r="B11" s="5" t="s">
        <v>16</v>
      </c>
      <c r="C11" s="5" t="s">
        <v>17</v>
      </c>
      <c r="D11" s="12" t="n">
        <v>46309</v>
      </c>
      <c r="E11" s="13" t="n">
        <f aca="false">D11-$D$6</f>
        <v>46302</v>
      </c>
      <c r="F11" s="14" t="n">
        <v>52000</v>
      </c>
      <c r="G11" s="15" t="n">
        <f aca="false">ROUND(F11*$D$7,2)</f>
        <v>3120</v>
      </c>
    </row>
    <row r="12" customFormat="false" ht="15.65" hidden="false" customHeight="false" outlineLevel="0" collapsed="false">
      <c r="A12" s="5" t="s">
        <v>18</v>
      </c>
      <c r="B12" s="5" t="s">
        <v>19</v>
      </c>
      <c r="C12" s="5" t="s">
        <v>20</v>
      </c>
      <c r="D12" s="12" t="n">
        <v>46310</v>
      </c>
      <c r="E12" s="13" t="n">
        <f aca="false">D12-$D$6</f>
        <v>46303</v>
      </c>
      <c r="F12" s="14" t="n">
        <v>29500</v>
      </c>
      <c r="G12" s="15" t="n">
        <f aca="false">ROUND(F12*$D$7,2)</f>
        <v>1770</v>
      </c>
    </row>
    <row r="13" customFormat="false" ht="15.65" hidden="false" customHeight="false" outlineLevel="0" collapsed="false">
      <c r="A13" s="5" t="s">
        <v>21</v>
      </c>
      <c r="B13" s="5" t="s">
        <v>22</v>
      </c>
      <c r="C13" s="5" t="s">
        <v>17</v>
      </c>
      <c r="D13" s="12" t="n">
        <v>46311</v>
      </c>
      <c r="E13" s="13" t="n">
        <f aca="false">D13-$D$6</f>
        <v>46304</v>
      </c>
      <c r="F13" s="14" t="n">
        <v>26000</v>
      </c>
      <c r="G13" s="15" t="n">
        <f aca="false">ROUND(F13*$D$7,2)</f>
        <v>1560</v>
      </c>
    </row>
    <row r="14" customFormat="false" ht="15.65" hidden="false" customHeight="false" outlineLevel="0" collapsed="false">
      <c r="A14" s="5" t="s">
        <v>23</v>
      </c>
      <c r="B14" s="5" t="s">
        <v>24</v>
      </c>
      <c r="C14" s="5" t="s">
        <v>20</v>
      </c>
      <c r="D14" s="12" t="n">
        <v>46316</v>
      </c>
      <c r="E14" s="13" t="n">
        <f aca="false">D14-$D$6</f>
        <v>46309</v>
      </c>
      <c r="F14" s="14" t="n">
        <v>38000</v>
      </c>
      <c r="G14" s="15" t="n">
        <f aca="false">ROUND(F14*$D$7,2)</f>
        <v>2280</v>
      </c>
    </row>
    <row r="15" customFormat="false" ht="17.15" hidden="false" customHeight="true" outlineLevel="0" collapsed="false">
      <c r="A15" s="16" t="s">
        <v>25</v>
      </c>
      <c r="B15" s="16"/>
      <c r="C15" s="16"/>
      <c r="D15" s="16"/>
      <c r="E15" s="16"/>
      <c r="F15" s="17" t="n">
        <f aca="false">SUM(F11:F14)</f>
        <v>145500</v>
      </c>
      <c r="G15" s="17" t="n">
        <f aca="false">SUM(G11:G14)</f>
        <v>8730</v>
      </c>
    </row>
    <row r="16" customFormat="false" ht="15.65" hidden="false" customHeight="true" outlineLevel="0" collapsed="false">
      <c r="A16" s="5" t="s">
        <v>26</v>
      </c>
      <c r="B16" s="5"/>
      <c r="C16" s="5"/>
      <c r="D16" s="5"/>
      <c r="E16" s="5"/>
      <c r="F16" s="5" t="s">
        <v>5</v>
      </c>
      <c r="G16" s="15" t="n">
        <f aca="false">ROUND(F15*D7,2)</f>
        <v>8730</v>
      </c>
    </row>
    <row r="17" customFormat="false" ht="15.65" hidden="false" customHeight="true" outlineLevel="0" collapsed="false">
      <c r="A17" s="5" t="s">
        <v>27</v>
      </c>
      <c r="B17" s="5"/>
      <c r="C17" s="5"/>
      <c r="D17" s="5"/>
      <c r="E17" s="5"/>
      <c r="F17" s="5" t="s">
        <v>5</v>
      </c>
      <c r="G17" s="15" t="n">
        <f aca="false">G15-G16</f>
        <v>0</v>
      </c>
    </row>
  </sheetData>
  <mergeCells count="13">
    <mergeCell ref="A1:G1"/>
    <mergeCell ref="A2:G2"/>
    <mergeCell ref="A3:G3"/>
    <mergeCell ref="A5:G5"/>
    <mergeCell ref="A6:C6"/>
    <mergeCell ref="E6:G6"/>
    <mergeCell ref="A7:C7"/>
    <mergeCell ref="E7:G7"/>
    <mergeCell ref="A8:C8"/>
    <mergeCell ref="E8:G8"/>
    <mergeCell ref="A15:E15"/>
    <mergeCell ref="A16:E16"/>
    <mergeCell ref="A17:E17"/>
  </mergeCells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LibreOffice/26.2.6.3$Linux_AARCH64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2026-09-23T16:10:00Z</dcterms:created>
  <dc:creator>Tom Reeve</dc:creator>
  <dc:description/>
  <dc:language>en-GB</dc:language>
  <cp:lastModifiedBy>Tom Reeve</cp:lastModifiedBy>
  <dcterms:modified xsi:type="dcterms:W3CDTF">2026-09-24T08:50:00Z</dcterms:modified>
  <cp:revision>0</cp:revision>
  <dc:subject/>
  <dc:title>Appraisals and Salary Review 2026</dc:title>
</cp:coreProperties>
</file>