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ue diligence"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<sst xmlns="http://schemas.openxmlformats.org/spreadsheetml/2006/main" count="151" uniqueCount="89">
  <si>
    <t xml:space="preserve">Kestrel Software Ltd – Series A due diligence tracker</t>
  </si>
  <si>
    <t xml:space="preserve">Updated 28 September 2026</t>
  </si>
  <si>
    <t xml:space="preserve">Prepared by Priya Nair for Helen Ashcombe (matter 1003.1). The requests are those of Brindley Moss LLP’s list of 21 September 2026. With is who provides the item. Status is Done, With client (the company has the next step) or Open (not yet started or not yet found).</t>
  </si>
  <si>
    <t xml:space="preserve">Ref</t>
  </si>
  <si>
    <t xml:space="preserve">Area</t>
  </si>
  <si>
    <t xml:space="preserve">Request</t>
  </si>
  <si>
    <t xml:space="preserve">With</t>
  </si>
  <si>
    <t xml:space="preserve">Status</t>
  </si>
  <si>
    <t xml:space="preserve">Date provided</t>
  </si>
  <si>
    <t xml:space="preserve">Notes</t>
  </si>
  <si>
    <t xml:space="preserve">DD01</t>
  </si>
  <si>
    <t xml:space="preserve">Corporate</t>
  </si>
  <si>
    <t xml:space="preserve">Certificate of incorporation and current articles of association</t>
  </si>
  <si>
    <t xml:space="preserve">Ines Kowalczyk</t>
  </si>
  <si>
    <t xml:space="preserve">Done</t>
  </si>
  <si>
    <t xml:space="preserve">In the data room.</t>
  </si>
  <si>
    <t xml:space="preserve">DD02</t>
  </si>
  <si>
    <t xml:space="preserve">Registers of members, directors and people with significant control; share certificates</t>
  </si>
  <si>
    <t xml:space="preserve">Agree with the cap table: 9,000,000 ordinary shares.</t>
  </si>
  <si>
    <t xml:space="preserve">DD03</t>
  </si>
  <si>
    <t xml:space="preserve">Share option plan rules and register of options granted</t>
  </si>
  <si>
    <t xml:space="preserve">Tobias Wren</t>
  </si>
  <si>
    <t xml:space="preserve">640,000 granted; 360,000 not yet allocated.</t>
  </si>
  <si>
    <t xml:space="preserve">DD04</t>
  </si>
  <si>
    <t xml:space="preserve">Board minutes and shareholder resolutions for the last three years</t>
  </si>
  <si>
    <t xml:space="preserve">With client</t>
  </si>
  <si>
    <t xml:space="preserve">Minutes for 2024 still being found.</t>
  </si>
  <si>
    <t xml:space="preserve">DD05</t>
  </si>
  <si>
    <t xml:space="preserve">Waivers of pre-emption rights from Ruth Calloway and Dev Mistry</t>
  </si>
  <si>
    <t xml:space="preserve">Helen has advised; Ines to ask both angels to sign.</t>
  </si>
  <si>
    <t xml:space="preserve">DD06</t>
  </si>
  <si>
    <t xml:space="preserve">Intellectual property</t>
  </si>
  <si>
    <t xml:space="preserve">IP assignment from Owain Rhys for the 2021 reporting module</t>
  </si>
  <si>
    <t xml:space="preserve">Open</t>
  </si>
  <si>
    <t xml:space="preserve">None signed. Tobias to contact Owain Rhys.</t>
  </si>
  <si>
    <t xml:space="preserve">DD07</t>
  </si>
  <si>
    <t xml:space="preserve">IP clauses in the contracts of staff and contractors who have written code</t>
  </si>
  <si>
    <t xml:space="preserve">Staff contracts assign IP to the company. Contractors: see the row above.</t>
  </si>
  <si>
    <t xml:space="preserve">DD08</t>
  </si>
  <si>
    <t xml:space="preserve">Open-source components in Kestrel Rota and the desktop app, with their licences</t>
  </si>
  <si>
    <t xml:space="preserve">Tobias is running a scan of both.</t>
  </si>
  <si>
    <t xml:space="preserve">DD09</t>
  </si>
  <si>
    <t xml:space="preserve">Customers</t>
  </si>
  <si>
    <t xml:space="preserve">Top ten customer contracts</t>
  </si>
  <si>
    <t xml:space="preserve">Brackenmoor Care Homes contract has a change-of-control clause.</t>
  </si>
  <si>
    <t xml:space="preserve">DD10</t>
  </si>
  <si>
    <t xml:space="preserve">Revenue by customer for the last two years</t>
  </si>
  <si>
    <t xml:space="preserve">Brackenmoor Care Homes Ltd is 22% of revenue.</t>
  </si>
  <si>
    <t xml:space="preserve">DD11</t>
  </si>
  <si>
    <t xml:space="preserve">Standard customer licence terms</t>
  </si>
  <si>
    <t xml:space="preserve">Review under way (matter 1003.2).</t>
  </si>
  <si>
    <t xml:space="preserve">DD12</t>
  </si>
  <si>
    <t xml:space="preserve">Employment</t>
  </si>
  <si>
    <t xml:space="preserve">List of staff with job titles, salaries and notice periods</t>
  </si>
  <si>
    <t xml:space="preserve">DD13</t>
  </si>
  <si>
    <t xml:space="preserve">Employment contracts for all staff and the founders’ service agreements</t>
  </si>
  <si>
    <t xml:space="preserve">Founders’ agreements received; staff contracts to follow.</t>
  </si>
  <si>
    <t xml:space="preserve">DD14</t>
  </si>
  <si>
    <t xml:space="preserve">Data protection</t>
  </si>
  <si>
    <t xml:space="preserve">Privacy policy, records of processing and registration with the data protection regulator</t>
  </si>
  <si>
    <t xml:space="preserve">DD15</t>
  </si>
  <si>
    <t xml:space="preserve">Record of data incidents in the last three years</t>
  </si>
  <si>
    <t xml:space="preserve">One customer incident, May 2026. Tobias to send the file.</t>
  </si>
  <si>
    <t xml:space="preserve">DD16</t>
  </si>
  <si>
    <t xml:space="preserve">Customer data-processing terms and list of sub-processors</t>
  </si>
  <si>
    <t xml:space="preserve">Sub-processor list being checked.</t>
  </si>
  <si>
    <t xml:space="preserve">DD17</t>
  </si>
  <si>
    <t xml:space="preserve">Property</t>
  </si>
  <si>
    <t xml:space="preserve">Lease of the office at Kingfisher Yard</t>
  </si>
  <si>
    <t xml:space="preserve">Lease ends March 2027.</t>
  </si>
  <si>
    <t xml:space="preserve">DD18</t>
  </si>
  <si>
    <t xml:space="preserve">Disputes</t>
  </si>
  <si>
    <t xml:space="preserve">Any claims, disputes or grievances in the last three years</t>
  </si>
  <si>
    <t xml:space="preserve">None.</t>
  </si>
  <si>
    <t xml:space="preserve">DD19</t>
  </si>
  <si>
    <t xml:space="preserve">Finance</t>
  </si>
  <si>
    <t xml:space="preserve">Statutory accounts for the last two years</t>
  </si>
  <si>
    <t xml:space="preserve">DD20</t>
  </si>
  <si>
    <t xml:space="preserve">Management accounts to 31 August 2026</t>
  </si>
  <si>
    <t xml:space="preserve">Due from Ines this week.</t>
  </si>
  <si>
    <t xml:space="preserve">DD21</t>
  </si>
  <si>
    <t xml:space="preserve">Confirmation that VAT and payroll taxes are up to date</t>
  </si>
  <si>
    <t xml:space="preserve">DD22</t>
  </si>
  <si>
    <t xml:space="preserve">Loans, overdrafts and any charges over the company’s assets</t>
  </si>
  <si>
    <t xml:space="preserve">Where things stand</t>
  </si>
  <si>
    <t xml:space="preserve"/>
  </si>
  <si>
    <t xml:space="preserve">All requests</t>
  </si>
  <si>
    <t xml:space="preserve">Done, as a share of all requests</t>
  </si>
  <si>
    <t xml:space="preserve">Check: the counts above less all requests (nil)</t>
  </si>
</sst>
</file>

<file path=xl/styles.xml><?xml version="1.0" encoding="utf-8"?>
<styleSheet xmlns="http://schemas.openxmlformats.org/spreadsheetml/2006/main">
  <numFmts count="9">
    <numFmt numFmtId="164" formatCode="General"/>
    <numFmt numFmtId="165" formatCode="0.#"/>
    <numFmt numFmtId="166" formatCode="0"/>
    <numFmt numFmtId="167" formatCode="[$£-809]#,##0.00"/>
    <numFmt numFmtId="168" formatCode="0.#%"/>
    <numFmt numFmtId="169" formatCode="d\ mmm\ yyyy"/>
    <numFmt numFmtId="170" formatCode="#,##0"/>
    <numFmt numFmtId="171" formatCode="0.00%"/>
    <numFmt numFmtId="172" formatCode="ddd\ d\ mmm\ yyyy"/>
  </numFmts>
  <fonts count="12">
    <font>
      <sz val="9.5"/>
      <name val="Calibri"/>
      <family val="2"/>
    </font>
    <font>
      <sz val="10"/>
      <name val="Arial"/>
      <family val="0"/>
    </font>
    <font>
      <sz val="10"/>
      <name val="Arial"/>
      <family val="0"/>
    </font>
    <font>
      <sz val="10"/>
      <name val="Arial"/>
      <family val="0"/>
    </font>
    <font>
      <b val="true"/>
      <sz val="15"/>
      <color rgb="FF1D4E5F"/>
      <name val="Calibri"/>
      <family val="2"/>
    </font>
    <font>
      <sz val="9.5"/>
      <color rgb="FF333333"/>
      <name val="Calibri"/>
      <family val="2"/>
    </font>
    <font>
      <b val="true"/>
      <sz val="10.5"/>
      <color rgb="FFFFFFFF"/>
      <name val="Calibri"/>
      <family val="2"/>
    </font>
    <font>
      <b val="true"/>
      <sz val="9.5"/>
      <name val="Calibri"/>
      <family val="2"/>
    </font>
    <font>
      <sz val="9.5"/>
      <color rgb="FF0B3D91"/>
      <name val="Calibri"/>
      <family val="2"/>
    </font>
    <font>
      <b val="true"/>
      <sz val="10.5"/>
      <name val="Calibri"/>
      <family val="2"/>
    </font>
    <font>
      <b val="true"/>
      <sz val="11"/>
      <color rgb="FFFFFFFF"/>
      <name val="Calibri"/>
      <family val="2"/>
    </font>
    <font>
      <b val="true"/>
      <sz val="11"/>
      <name val="Calibri"/>
      <family val="2"/>
    </font>
  </fonts>
  <fills count="9">
    <fill>
      <patternFill patternType="none"/>
    </fill>
    <fill>
      <patternFill patternType="gray125"/>
    </fill>
    <fill>
      <patternFill patternType="solid">
        <fgColor rgb="FF1D4E5F"/>
        <bgColor rgb="FF0B3D91"/>
      </patternFill>
    </fill>
    <fill>
      <patternFill patternType="solid">
        <fgColor rgb="FFE6EEF0"/>
        <bgColor rgb="FFDFF0E0"/>
      </patternFill>
    </fill>
    <fill>
      <patternFill patternType="solid">
        <fgColor rgb="FFFFF3D1"/>
        <bgColor rgb="FFFFF1C9"/>
      </patternFill>
    </fill>
    <fill>
      <patternFill patternType="solid">
        <fgColor rgb="FFDFF0E0"/>
        <bgColor rgb="FFE6EEF0"/>
      </patternFill>
    </fill>
    <fill>
      <patternFill patternType="solid">
        <fgColor rgb="FFFFF1C9"/>
        <bgColor rgb="FFFFF3D1"/>
      </patternFill>
    </fill>
    <fill>
      <patternFill patternType="solid">
        <fgColor rgb="FFF7D9D4"/>
        <bgColor rgb="FFFFF1C9"/>
      </patternFill>
    </fill>
    <fill>
      <patternFill patternType="solid">
        <fgColor rgb="FFD9E4F5"/>
        <bgColor rgb="FFE6EEF0"/>
      </patternFill>
    </fill>
  </fills>
  <borders count="5">
    <border diagonalUp="false" diagonalDown="false">
      <left/>
      <right/>
      <top/>
      <bottom/>
      <diagonal/>
    </border>
    <border diagonalUp="false" diagonalDown="false">
      <left/>
      <right/>
      <top/>
      <bottom style="thin">
        <color rgb="FF1D4E5F"/>
      </bottom>
      <diagonal/>
    </border>
    <border diagonalUp="false" diagonalDown="false">
      <left/>
      <right/>
      <top/>
      <bottom style="hair">
        <color rgb="FFCCCCCC"/>
      </bottom>
      <diagonal/>
    </border>
    <border diagonalUp="false" diagonalDown="false">
      <left/>
      <right/>
      <top style="thin"/>
      <bottom/>
      <diagonal/>
    </border>
    <border diagonalUp="false" diagonalDown="false">
      <left/>
      <right/>
      <top style="thin">
        <color rgb="FF1D4E5F"/>
      </top>
      <bottom style="hair">
        <color rgb="FF1D4E5F"/>
      </bottom>
      <diagonal/>
    </border>
  </borders>
  <cellStyleXfs count="7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false" applyProtection="false"/>
    <xf numFmtId="164" fontId="4" fillId="0" borderId="0" applyFont="true" applyBorder="false" applyAlignment="true" applyProtection="false">
      <alignment horizontal="general" vertical="top" textRotation="0" wrapText="true" indent="0" shrinkToFit="false"/>
    </xf>
    <xf numFmtId="164" fontId="5" fillId="0" borderId="0" applyFont="true" applyBorder="false" applyAlignment="true" applyProtection="false">
      <alignment horizontal="general" vertical="top" textRotation="0" wrapText="true" indent="0" shrinkToFit="false"/>
    </xf>
    <xf numFmtId="164" fontId="6" fillId="2" borderId="0" applyFont="true" applyBorder="false" applyAlignment="false" applyProtection="false"/>
    <xf numFmtId="164" fontId="7" fillId="3" borderId="1" applyFont="true" applyBorder="true" applyAlignment="true" applyProtection="false">
      <alignment horizontal="general" vertical="bottom" textRotation="0" wrapText="true" indent="0" shrinkToFit="false"/>
    </xf>
    <xf numFmtId="164" fontId="7" fillId="3" borderId="1" applyFont="true" applyBorder="true" applyAlignment="true" applyProtection="false">
      <alignment horizontal="right" vertical="bottom" textRotation="0" wrapText="true" indent="0" shrinkToFit="false"/>
    </xf>
    <xf numFmtId="164" fontId="7" fillId="3" borderId="1" applyFont="true" applyBorder="true" applyAlignment="true" applyProtection="false">
      <alignment horizontal="center" vertical="bottom" textRotation="0" wrapText="true" indent="0" shrinkToFit="false"/>
    </xf>
    <xf numFmtId="164" fontId="0" fillId="0" borderId="2" applyFont="false" applyBorder="true" applyAlignment="true" applyProtection="false">
      <alignment horizontal="general" vertical="bottom" textRotation="0" wrapText="true" indent="0" shrinkToFit="false"/>
    </xf>
    <xf numFmtId="164" fontId="0" fillId="0" borderId="2" applyFont="false" applyBorder="true" applyAlignment="true" applyProtection="false">
      <alignment horizontal="general" vertical="bottom" textRotation="0" wrapText="true" indent="0" shrinkToFit="false"/>
    </xf>
    <xf numFmtId="164" fontId="7" fillId="3" borderId="1" applyFont="true" applyBorder="true" applyAlignment="true" applyProtection="false">
      <alignment horizontal="general" vertical="bottom" textRotation="0" wrapText="true" indent="0" shrinkToFit="false"/>
    </xf>
    <xf numFmtId="164" fontId="0" fillId="0" borderId="2" applyFont="false" applyBorder="true" applyAlignment="true" applyProtection="false">
      <alignment horizontal="center" vertical="bottom" textRotation="0" wrapText="true" indent="0" shrinkToFit="false"/>
    </xf>
    <xf numFmtId="165" fontId="0" fillId="0" borderId="2" applyFont="false" applyBorder="true" applyAlignment="true" applyProtection="false">
      <alignment horizontal="general" vertical="bottom" textRotation="0" wrapText="true" indent="0" shrinkToFit="false"/>
    </xf>
    <xf numFmtId="166" fontId="0" fillId="0" borderId="2" applyFont="false" applyBorder="true" applyAlignment="true" applyProtection="false">
      <alignment horizontal="right" vertical="bottom" textRotation="0" wrapText="true" indent="0" shrinkToFit="false"/>
    </xf>
    <xf numFmtId="167" fontId="0" fillId="0" borderId="2" applyFont="false" applyBorder="true" applyAlignment="true" applyProtection="false">
      <alignment horizontal="general" vertical="bottom" textRotation="0" wrapText="true" indent="0" shrinkToFit="false"/>
    </xf>
    <xf numFmtId="167" fontId="8" fillId="0" borderId="2" applyFont="true" applyBorder="true" applyAlignment="true" applyProtection="false">
      <alignment horizontal="general" vertical="bottom" textRotation="0" wrapText="true" indent="0" shrinkToFit="false"/>
    </xf>
    <xf numFmtId="168" fontId="0" fillId="0" borderId="2" applyFont="false" applyBorder="true" applyAlignment="true" applyProtection="false">
      <alignment horizontal="general" vertical="bottom" textRotation="0" wrapText="true" indent="0" shrinkToFit="false"/>
    </xf>
    <xf numFmtId="168" fontId="8" fillId="0" borderId="2" applyFont="true" applyBorder="true" applyAlignment="true" applyProtection="false">
      <alignment horizontal="general" vertical="bottom" textRotation="0" wrapText="true" indent="0" shrinkToFit="false"/>
    </xf>
    <xf numFmtId="169" fontId="0" fillId="0" borderId="2" applyFont="false" applyBorder="true" applyAlignment="true" applyProtection="false">
      <alignment horizontal="right" vertical="bottom" textRotation="0" wrapText="true" indent="0" shrinkToFit="false"/>
    </xf>
    <xf numFmtId="169" fontId="8" fillId="0" borderId="2" applyFont="true" applyBorder="true" applyAlignment="true" applyProtection="false">
      <alignment horizontal="right" vertical="bottom" textRotation="0" wrapText="true" indent="0" shrinkToFit="false"/>
    </xf>
    <xf numFmtId="164" fontId="7" fillId="4" borderId="2" applyFont="true" applyBorder="true" applyAlignment="true" applyProtection="false">
      <alignment horizontal="general" vertical="bottom" textRotation="0" wrapText="true" indent="0" shrinkToFit="false"/>
    </xf>
    <xf numFmtId="167" fontId="7" fillId="4" borderId="2" applyFont="true" applyBorder="true" applyAlignment="true" applyProtection="false">
      <alignment horizontal="general" vertical="bottom" textRotation="0" wrapText="true" indent="0" shrinkToFit="false"/>
    </xf>
    <xf numFmtId="168" fontId="7" fillId="4" borderId="2" applyFont="true" applyBorder="true" applyAlignment="true" applyProtection="false">
      <alignment horizontal="general" vertical="bottom" textRotation="0" wrapText="true" indent="0" shrinkToFit="false"/>
    </xf>
    <xf numFmtId="164" fontId="7" fillId="0" borderId="3" applyFont="true" applyBorder="true" applyAlignment="true" applyProtection="false">
      <alignment horizontal="general" vertical="bottom" textRotation="0" wrapText="true" indent="0" shrinkToFit="false"/>
    </xf>
    <xf numFmtId="167" fontId="7" fillId="0" borderId="3" applyFont="true" applyBorder="true" applyAlignment="true" applyProtection="false">
      <alignment horizontal="general" vertical="bottom" textRotation="0" wrapText="true" indent="0" shrinkToFit="false"/>
    </xf>
    <xf numFmtId="168" fontId="7" fillId="0" borderId="3" applyFont="true" applyBorder="true" applyAlignment="true" applyProtection="false">
      <alignment horizontal="general" vertical="bottom" textRotation="0" wrapText="true" indent="0" shrinkToFit="false"/>
    </xf>
    <xf numFmtId="164" fontId="9" fillId="3" borderId="4" applyFont="true" applyBorder="true" applyAlignment="true" applyProtection="false">
      <alignment horizontal="general" vertical="bottom" textRotation="0" wrapText="true" indent="0" shrinkToFit="false"/>
    </xf>
    <xf numFmtId="167" fontId="9" fillId="3" borderId="4" applyFont="true" applyBorder="true" applyAlignment="true" applyProtection="false">
      <alignment horizontal="general" vertical="bottom" textRotation="0" wrapText="true" indent="0" shrinkToFit="false"/>
    </xf>
    <xf numFmtId="168" fontId="9" fillId="3" borderId="4" applyFont="true" applyBorder="true" applyAlignment="true" applyProtection="false">
      <alignment horizontal="general" vertical="bottom" textRotation="0" wrapText="true" indent="0" shrinkToFit="false"/>
    </xf>
    <xf numFmtId="164" fontId="10" fillId="2" borderId="0" applyFont="true" applyBorder="false" applyAlignment="false" applyProtection="false"/>
    <xf numFmtId="167" fontId="10" fillId="2" borderId="0" applyFont="true" applyBorder="false" applyAlignment="true" applyProtection="false">
      <alignment horizontal="right" vertical="bottom" textRotation="0" wrapText="false" indent="0" shrinkToFit="false"/>
    </xf>
    <xf numFmtId="170" fontId="0" fillId="0" borderId="2" applyFont="false" applyBorder="true" applyAlignment="true" applyProtection="false">
      <alignment horizontal="right" vertical="bottom" textRotation="0" wrapText="true" indent="0" shrinkToFit="false"/>
    </xf>
    <xf numFmtId="170" fontId="8" fillId="0" borderId="2" applyFont="true" applyBorder="true" applyAlignment="true" applyProtection="false">
      <alignment horizontal="right" vertical="bottom" textRotation="0" wrapText="true" indent="0" shrinkToFit="false"/>
    </xf>
    <xf numFmtId="170" fontId="7" fillId="0" borderId="3" applyFont="true" applyBorder="true" applyAlignment="true" applyProtection="false">
      <alignment horizontal="right" vertical="bottom" textRotation="0" wrapText="true" indent="0" shrinkToFit="false"/>
    </xf>
    <xf numFmtId="170" fontId="9" fillId="3" borderId="4" applyFont="true" applyBorder="true" applyAlignment="true" applyProtection="false">
      <alignment horizontal="right" vertical="bottom" textRotation="0" wrapText="true" indent="0" shrinkToFit="false"/>
    </xf>
    <xf numFmtId="171" fontId="0" fillId="0" borderId="2" applyFont="false" applyBorder="true" applyAlignment="true" applyProtection="false">
      <alignment horizontal="right" vertical="bottom" textRotation="0" wrapText="true" indent="0" shrinkToFit="false"/>
    </xf>
    <xf numFmtId="171" fontId="7" fillId="0" borderId="3" applyFont="true" applyBorder="true" applyAlignment="true" applyProtection="false">
      <alignment horizontal="right" vertical="bottom" textRotation="0" wrapText="true" indent="0" shrinkToFit="false"/>
    </xf>
    <xf numFmtId="171" fontId="9" fillId="3" borderId="4" applyFont="true" applyBorder="true" applyAlignment="true" applyProtection="false">
      <alignment horizontal="right" vertical="bottom" textRotation="0" wrapText="true" indent="0" shrinkToFit="false"/>
    </xf>
    <xf numFmtId="169" fontId="0" fillId="0" borderId="2" applyFont="false" applyBorder="true" applyAlignment="true" applyProtection="false">
      <alignment horizontal="center" vertical="bottom" textRotation="0" wrapText="true" indent="0" shrinkToFit="false"/>
    </xf>
    <xf numFmtId="169" fontId="8" fillId="0" borderId="2" applyFont="true" applyBorder="true" applyAlignment="true" applyProtection="false">
      <alignment horizontal="center" vertical="bottom" textRotation="0" wrapText="true" indent="0" shrinkToFit="false"/>
    </xf>
    <xf numFmtId="172" fontId="0" fillId="0" borderId="2" applyFont="false" applyBorder="true" applyAlignment="true" applyProtection="false">
      <alignment horizontal="center" vertical="bottom" textRotation="0" wrapText="true" indent="0" shrinkToFit="false"/>
    </xf>
    <xf numFmtId="172" fontId="8" fillId="0" borderId="2" applyFont="true" applyBorder="true" applyAlignment="true" applyProtection="false">
      <alignment horizontal="center" vertical="bottom" textRotation="0" wrapText="true" indent="0" shrinkToFit="false"/>
    </xf>
    <xf numFmtId="166" fontId="0" fillId="0" borderId="2" applyFont="false" applyBorder="true" applyAlignment="true" applyProtection="false">
      <alignment horizontal="right" vertical="bottom" textRotation="0" wrapText="true" indent="0" shrinkToFit="false"/>
    </xf>
    <xf numFmtId="164" fontId="0" fillId="0" borderId="2" applyFont="false" applyBorder="true" applyAlignment="true" applyProtection="false">
      <alignment horizontal="general" vertical="top" textRotation="0" wrapText="true" indent="0" shrinkToFit="false"/>
    </xf>
    <xf numFmtId="164" fontId="0" fillId="5" borderId="2" applyFont="false" applyBorder="true" applyAlignment="true" applyProtection="false">
      <alignment horizontal="center" vertical="top" textRotation="0" wrapText="true" indent="0" shrinkToFit="false"/>
    </xf>
    <xf numFmtId="164" fontId="0" fillId="6" borderId="2" applyFont="false" applyBorder="true" applyAlignment="true" applyProtection="false">
      <alignment horizontal="center" vertical="top" textRotation="0" wrapText="true" indent="0" shrinkToFit="false"/>
    </xf>
    <xf numFmtId="164" fontId="0" fillId="7" borderId="2" applyFont="false" applyBorder="true" applyAlignment="true" applyProtection="false">
      <alignment horizontal="center" vertical="top" textRotation="0" wrapText="true" indent="0" shrinkToFit="false"/>
    </xf>
    <xf numFmtId="164" fontId="0" fillId="8" borderId="2" applyFont="false" applyBorder="true" applyAlignment="true" applyProtection="false">
      <alignment horizontal="center" vertical="top" textRotation="0" wrapText="true" indent="0" shrinkToFit="false"/>
    </xf>
    <xf numFmtId="169" fontId="0" fillId="0" borderId="2" applyFont="false" applyBorder="true" applyAlignment="true" applyProtection="false">
      <alignment horizontal="center" vertical="top" textRotation="0" wrapText="true" indent="0" shrinkToFit="false"/>
    </xf>
    <xf numFmtId="170" fontId="9" fillId="3" borderId="4" applyFont="true" applyBorder="true" applyAlignment="true" applyProtection="false">
      <alignment horizontal="right" vertical="bottom" textRotation="0" wrapText="true" indent="0" shrinkToFit="false"/>
    </xf>
    <xf numFmtId="170" fontId="7" fillId="0" borderId="3" applyFont="true" applyBorder="true" applyAlignment="true" applyProtection="false">
      <alignment horizontal="right" vertical="bottom" textRotation="0" wrapText="true" indent="0" shrinkToFit="false"/>
    </xf>
    <xf numFmtId="170" fontId="0" fillId="0" borderId="2" applyFont="false" applyBorder="true" applyAlignment="true" applyProtection="false">
      <alignment horizontal="right" vertical="bottom" textRotation="0" wrapText="true" indent="0" shrinkToFit="false"/>
    </xf>
    <xf numFmtId="164" fontId="1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11" fillId="0" borderId="0" xfId="71"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false" applyProtection="false">
      <alignment horizontal="general" vertical="top" textRotation="0" wrapText="true" indent="0" shrinkToFit="false"/>
      <protection locked="true" hidden="false"/>
    </xf>
    <xf numFmtId="164" fontId="7" fillId="3" borderId="1" xfId="24" applyFont="true" applyBorder="false" applyAlignment="false" applyProtection="false">
      <alignment horizontal="general" vertical="bottom" textRotation="0" wrapText="true" indent="0" shrinkToFit="false"/>
      <protection locked="true" hidden="false"/>
    </xf>
    <xf numFmtId="164" fontId="7" fillId="3" borderId="1" xfId="26" applyFont="true" applyBorder="false" applyAlignment="false" applyProtection="false">
      <alignment horizontal="center" vertical="bottom" textRotation="0" wrapText="true" indent="0" shrinkToFit="false"/>
      <protection locked="true" hidden="false"/>
    </xf>
    <xf numFmtId="164" fontId="0" fillId="0" borderId="2" xfId="62" applyFont="true" applyBorder="false" applyAlignment="false" applyProtection="false">
      <alignment horizontal="general" vertical="top" textRotation="0" wrapText="true" indent="0" shrinkToFit="false"/>
      <protection locked="true" hidden="false"/>
    </xf>
    <xf numFmtId="164" fontId="0" fillId="5" borderId="2" xfId="63" applyFont="true" applyBorder="false" applyAlignment="false" applyProtection="false">
      <alignment horizontal="center" vertical="top" textRotation="0" wrapText="true" indent="0" shrinkToFit="false"/>
      <protection locked="true" hidden="false"/>
    </xf>
    <xf numFmtId="169" fontId="0" fillId="0" borderId="2" xfId="67" applyFont="false" applyBorder="false" applyAlignment="false" applyProtection="false">
      <alignment horizontal="center" vertical="top" textRotation="0" wrapText="true" indent="0" shrinkToFit="false"/>
      <protection locked="true" hidden="false"/>
    </xf>
    <xf numFmtId="164" fontId="0" fillId="6" borderId="2" xfId="64" applyFont="true" applyBorder="false" applyAlignment="false" applyProtection="false">
      <alignment horizontal="center" vertical="top" textRotation="0" wrapText="true" indent="0" shrinkToFit="false"/>
      <protection locked="true" hidden="false"/>
    </xf>
    <xf numFmtId="164" fontId="0" fillId="7" borderId="2" xfId="65" applyFont="true" applyBorder="false" applyAlignment="false" applyProtection="false">
      <alignment horizontal="center" vertical="top" textRotation="0" wrapText="true" indent="0" shrinkToFit="false"/>
      <protection locked="true" hidden="false"/>
    </xf>
    <xf numFmtId="164" fontId="6" fillId="2" borderId="0" xfId="23" applyFont="true" applyBorder="false" applyAlignment="false" applyProtection="false">
      <alignment horizontal="general" vertical="bottom" textRotation="0" wrapText="false" indent="0" shrinkToFit="false"/>
      <protection locked="true" hidden="false"/>
    </xf>
    <xf numFmtId="164" fontId="0" fillId="0" borderId="2" xfId="27" applyFont="true" applyBorder="false" applyAlignment="false" applyProtection="false">
      <alignment horizontal="general" vertical="bottom" textRotation="0" wrapText="true" indent="0" shrinkToFit="false"/>
      <protection locked="true" hidden="false"/>
    </xf>
    <xf numFmtId="170" fontId="0" fillId="0" borderId="2" xfId="70" applyFont="false" applyBorder="false" applyAlignment="false" applyProtection="false">
      <alignment horizontal="right" vertical="bottom" textRotation="0" wrapText="true" indent="0" shrinkToFit="false"/>
      <protection locked="true" hidden="false"/>
    </xf>
    <xf numFmtId="164" fontId="9" fillId="3" borderId="4" xfId="45" applyFont="true" applyBorder="false" applyAlignment="false" applyProtection="false">
      <alignment horizontal="general" vertical="bottom" textRotation="0" wrapText="true" indent="0" shrinkToFit="false"/>
      <protection locked="true" hidden="false"/>
    </xf>
    <xf numFmtId="170" fontId="9" fillId="3" borderId="4" xfId="68" applyFont="false" applyBorder="false" applyAlignment="false" applyProtection="false">
      <alignment horizontal="right" vertical="bottom" textRotation="0" wrapText="true" indent="0" shrinkToFit="false"/>
      <protection locked="true" hidden="false"/>
    </xf>
    <xf numFmtId="171" fontId="0" fillId="0" borderId="2" xfId="54" applyFont="false" applyBorder="false" applyAlignment="false" applyProtection="false">
      <alignment horizontal="right" vertical="bottom" textRotation="0" wrapText="true" indent="0" shrinkToFit="false"/>
      <protection locked="true" hidden="false"/>
    </xf>
  </cellXfs>
  <cellStyles count="58">
    <cellStyle name="Normal" xfId="0" builtinId="0"/>
    <cellStyle name="Comma" xfId="15" builtinId="3"/>
    <cellStyle name="Comma [0]" xfId="16" builtinId="6"/>
    <cellStyle name="Currency" xfId="17" builtinId="4"/>
    <cellStyle name="Currency [0]" xfId="18" builtinId="7"/>
    <cellStyle name="Percent" xfId="19" builtinId="5"/>
    <cellStyle name="Title" xfId="20"/>
    <cellStyle name="TitleWrap" xfId="21"/>
    <cellStyle name="NoteWrap" xfId="22"/>
    <cellStyle name="Section" xfId="23"/>
    <cellStyle name="ColHead" xfId="24"/>
    <cellStyle name="ColHeadRight" xfId="25"/>
    <cellStyle name="ColHeadCentre" xfId="26"/>
    <cellStyle name="Row" xfId="27"/>
    <cellStyle name="RowPad" xfId="28"/>
    <cellStyle name="ColHeadPad" xfId="29"/>
    <cellStyle name="RowCentre" xfId="30"/>
    <cellStyle name="RowNum" xfId="31"/>
    <cellStyle name="RowInt" xfId="32"/>
    <cellStyle name="RowMoney" xfId="33"/>
    <cellStyle name="RowMoneyIn" xfId="34"/>
    <cellStyle name="RowPct" xfId="35"/>
    <cellStyle name="RowPctIn" xfId="36"/>
    <cellStyle name="RowDate" xfId="37"/>
    <cellStyle name="RowDateIn" xfId="38"/>
    <cellStyle name="HiRow" xfId="39"/>
    <cellStyle name="HiMoney" xfId="40"/>
    <cellStyle name="HiPct" xfId="41"/>
    <cellStyle name="Sub" xfId="42"/>
    <cellStyle name="SubMoney" xfId="43"/>
    <cellStyle name="SubPct" xfId="44"/>
    <cellStyle name="Total" xfId="45"/>
    <cellStyle name="TotalMoney" xfId="46"/>
    <cellStyle name="TotalPct" xfId="47"/>
    <cellStyle name="Due" xfId="48"/>
    <cellStyle name="DueMoney" xfId="49"/>
    <cellStyle name="RowShares" xfId="50"/>
    <cellStyle name="RowSharesIn" xfId="51"/>
    <cellStyle name="SubShares" xfId="52"/>
    <cellStyle name="TotalShares" xfId="53"/>
    <cellStyle name="RowPct2" xfId="54"/>
    <cellStyle name="SubPct2" xfId="55"/>
    <cellStyle name="TotalPct2" xfId="56"/>
    <cellStyle name="RowDateShort" xfId="57"/>
    <cellStyle name="RowDateShortIn" xfId="58"/>
    <cellStyle name="RowDateDow" xfId="59"/>
    <cellStyle name="RowDateDowIn" xfId="60"/>
    <cellStyle name="RowDays" xfId="61"/>
    <cellStyle name="RowTop" xfId="62"/>
    <cellStyle name="StDone" xfId="63"/>
    <cellStyle name="StClient" xfId="64"/>
    <cellStyle name="StOpen" xfId="65"/>
    <cellStyle name="StPost" xfId="66"/>
    <cellStyle name="RowDateTop" xfId="67"/>
    <cellStyle name="TotalLabelCount" xfId="68"/>
    <cellStyle name="SubCount" xfId="69"/>
    <cellStyle name="RowCount" xfId="70"/>
    <cellStyle name="Heading" xfId="7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D1"/>
      <rgbColor rgb="FFE6EEF0"/>
      <rgbColor rgb="FF660066"/>
      <rgbColor rgb="FFFF8080"/>
      <rgbColor rgb="FF0066CC"/>
      <rgbColor rgb="FFD9E4F5"/>
      <rgbColor rgb="FF000080"/>
      <rgbColor rgb="FFFF00FF"/>
      <rgbColor rgb="FFFFFF00"/>
      <rgbColor rgb="FF00FFFF"/>
      <rgbColor rgb="FF800080"/>
      <rgbColor rgb="FF800000"/>
      <rgbColor rgb="FF008080"/>
      <rgbColor rgb="FF0000FF"/>
      <rgbColor rgb="FF00CCFF"/>
      <rgbColor rgb="FFCCFFFF"/>
      <rgbColor rgb="FFDFF0E0"/>
      <rgbColor rgb="FFFFF1C9"/>
      <rgbColor rgb="FF99CCFF"/>
      <rgbColor rgb="FFFF99CC"/>
      <rgbColor rgb="FFCC99FF"/>
      <rgbColor rgb="FFF7D9D4"/>
      <rgbColor rgb="FF3366FF"/>
      <rgbColor rgb="FF33CCCC"/>
      <rgbColor rgb="FF99CC00"/>
      <rgbColor rgb="FFFFCC00"/>
      <rgbColor rgb="FFFF9900"/>
      <rgbColor rgb="FFFF6600"/>
      <rgbColor rgb="FF666699"/>
      <rgbColor rgb="FF969696"/>
      <rgbColor rgb="FF0B3D91"/>
      <rgbColor rgb="FF339966"/>
      <rgbColor rgb="FF003300"/>
      <rgbColor rgb="FF333300"/>
      <rgbColor rgb="FF993300"/>
      <rgbColor rgb="FF993366"/>
      <rgbColor rgb="FF1D4E5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3359375" defaultRowHeight="12.8" customHeight="false" zeroHeight="false" outlineLevelRow="0" outlineLevelCol="0"/>
  <cols>
    <col collapsed="false" customWidth="true" hidden="false" outlineLevel="0" max="1" min="1" style="0" width="8.85"/>
    <col collapsed="false" customWidth="true" hidden="false" outlineLevel="0" max="2" min="2" style="0" width="17.72"/>
    <col collapsed="false" customWidth="true" hidden="false" outlineLevel="0" max="3" min="3" style="0" width="43.7"/>
    <col collapsed="false" customWidth="true" hidden="false" outlineLevel="0" max="4" min="4" style="0" width="17.13"/>
    <col collapsed="false" customWidth="true" hidden="false" outlineLevel="0" max="6" min="5" style="0" width="15.95"/>
    <col collapsed="false" customWidth="true" hidden="false" outlineLevel="0" max="7" min="7" style="0" width="38.39"/>
  </cols>
  <sheetData>
    <row r="1" customFormat="false" ht="25.5" hidden="false" customHeight="true" outlineLevel="0" collapsed="false">
      <c r="A1" s="1" t="s">
        <v>0</v>
      </c>
      <c r="B1" s="1"/>
      <c r="C1" s="1"/>
      <c r="D1" s="1"/>
      <c r="E1" s="1"/>
      <c r="F1" s="1"/>
      <c r="G1" s="1"/>
    </row>
    <row r="2" customFormat="false" ht="13.8" hidden="false" customHeight="false" outlineLevel="0" collapsed="false">
      <c r="A2" s="2" t="s">
        <v>1</v>
      </c>
      <c r="B2" s="2"/>
      <c r="C2" s="2"/>
      <c r="D2" s="2"/>
      <c r="E2" s="2"/>
      <c r="F2" s="2"/>
      <c r="G2" s="2"/>
    </row>
    <row r="3" customFormat="false" ht="28.35" hidden="false" customHeight="true" outlineLevel="0" collapsed="false">
      <c r="A3" s="3" t="s">
        <v>2</v>
      </c>
      <c r="B3" s="3"/>
      <c r="C3" s="3"/>
      <c r="D3" s="3"/>
      <c r="E3" s="3"/>
      <c r="F3" s="3"/>
      <c r="G3" s="3"/>
    </row>
    <row r="5" customFormat="false" ht="22.7" hidden="false" customHeight="true" outlineLevel="0" collapsed="false">
      <c r="A5" s="4" t="s">
        <v>3</v>
      </c>
      <c r="B5" s="4" t="s">
        <v>4</v>
      </c>
      <c r="C5" s="4" t="s">
        <v>5</v>
      </c>
      <c r="D5" s="4" t="s">
        <v>6</v>
      </c>
      <c r="E5" s="5" t="s">
        <v>7</v>
      </c>
      <c r="F5" s="5" t="s">
        <v>8</v>
      </c>
      <c r="G5" s="4" t="s">
        <v>9</v>
      </c>
    </row>
    <row r="6" customFormat="false" ht="26.85" hidden="false" customHeight="false" outlineLevel="0" collapsed="false">
      <c r="A6" s="6" t="s">
        <v>10</v>
      </c>
      <c r="B6" s="6" t="s">
        <v>11</v>
      </c>
      <c r="C6" s="6" t="s">
        <v>12</v>
      </c>
      <c r="D6" s="6" t="s">
        <v>13</v>
      </c>
      <c r="E6" s="7" t="s">
        <v>14</v>
      </c>
      <c r="F6" s="8" t="n">
        <v>46287</v>
      </c>
      <c r="G6" s="6" t="s">
        <v>15</v>
      </c>
    </row>
    <row r="7" customFormat="false" ht="26.85" hidden="false" customHeight="false" outlineLevel="0" collapsed="false">
      <c r="A7" s="6" t="s">
        <v>16</v>
      </c>
      <c r="B7" s="6" t="s">
        <v>11</v>
      </c>
      <c r="C7" s="6" t="s">
        <v>17</v>
      </c>
      <c r="D7" s="6" t="s">
        <v>13</v>
      </c>
      <c r="E7" s="7" t="s">
        <v>14</v>
      </c>
      <c r="F7" s="8" t="n">
        <v>46289</v>
      </c>
      <c r="G7" s="6" t="s">
        <v>18</v>
      </c>
    </row>
    <row r="8" customFormat="false" ht="26.85" hidden="false" customHeight="false" outlineLevel="0" collapsed="false">
      <c r="A8" s="6" t="s">
        <v>19</v>
      </c>
      <c r="B8" s="6" t="s">
        <v>11</v>
      </c>
      <c r="C8" s="6" t="s">
        <v>20</v>
      </c>
      <c r="D8" s="6" t="s">
        <v>21</v>
      </c>
      <c r="E8" s="7" t="s">
        <v>14</v>
      </c>
      <c r="F8" s="8" t="n">
        <v>46289</v>
      </c>
      <c r="G8" s="6" t="s">
        <v>22</v>
      </c>
    </row>
    <row r="9" customFormat="false" ht="26.85" hidden="false" customHeight="false" outlineLevel="0" collapsed="false">
      <c r="A9" s="6" t="s">
        <v>23</v>
      </c>
      <c r="B9" s="6" t="s">
        <v>11</v>
      </c>
      <c r="C9" s="6" t="s">
        <v>24</v>
      </c>
      <c r="D9" s="6" t="s">
        <v>13</v>
      </c>
      <c r="E9" s="9" t="s">
        <v>25</v>
      </c>
      <c r="F9" s="6"/>
      <c r="G9" s="6" t="s">
        <v>26</v>
      </c>
    </row>
    <row r="10" customFormat="false" ht="26.85" hidden="false" customHeight="false" outlineLevel="0" collapsed="false">
      <c r="A10" s="6" t="s">
        <v>27</v>
      </c>
      <c r="B10" s="6" t="s">
        <v>11</v>
      </c>
      <c r="C10" s="6" t="s">
        <v>28</v>
      </c>
      <c r="D10" s="6" t="s">
        <v>13</v>
      </c>
      <c r="E10" s="9" t="s">
        <v>25</v>
      </c>
      <c r="F10" s="6"/>
      <c r="G10" s="6" t="s">
        <v>29</v>
      </c>
    </row>
    <row r="11" customFormat="false" ht="26.85" hidden="false" customHeight="false" outlineLevel="0" collapsed="false">
      <c r="A11" s="6" t="s">
        <v>30</v>
      </c>
      <c r="B11" s="6" t="s">
        <v>31</v>
      </c>
      <c r="C11" s="6" t="s">
        <v>32</v>
      </c>
      <c r="D11" s="6" t="s">
        <v>21</v>
      </c>
      <c r="E11" s="10" t="s">
        <v>33</v>
      </c>
      <c r="F11" s="6"/>
      <c r="G11" s="6" t="s">
        <v>34</v>
      </c>
    </row>
    <row r="12" customFormat="false" ht="26.85" hidden="false" customHeight="false" outlineLevel="0" collapsed="false">
      <c r="A12" s="6" t="s">
        <v>35</v>
      </c>
      <c r="B12" s="6" t="s">
        <v>31</v>
      </c>
      <c r="C12" s="6" t="s">
        <v>36</v>
      </c>
      <c r="D12" s="6" t="s">
        <v>21</v>
      </c>
      <c r="E12" s="7" t="s">
        <v>14</v>
      </c>
      <c r="F12" s="8" t="n">
        <v>46290</v>
      </c>
      <c r="G12" s="6" t="s">
        <v>37</v>
      </c>
    </row>
    <row r="13" customFormat="false" ht="26.85" hidden="false" customHeight="false" outlineLevel="0" collapsed="false">
      <c r="A13" s="6" t="s">
        <v>38</v>
      </c>
      <c r="B13" s="6" t="s">
        <v>31</v>
      </c>
      <c r="C13" s="6" t="s">
        <v>39</v>
      </c>
      <c r="D13" s="6" t="s">
        <v>21</v>
      </c>
      <c r="E13" s="9" t="s">
        <v>25</v>
      </c>
      <c r="F13" s="6"/>
      <c r="G13" s="6" t="s">
        <v>40</v>
      </c>
    </row>
    <row r="14" customFormat="false" ht="26.85" hidden="false" customHeight="false" outlineLevel="0" collapsed="false">
      <c r="A14" s="6" t="s">
        <v>41</v>
      </c>
      <c r="B14" s="6" t="s">
        <v>42</v>
      </c>
      <c r="C14" s="6" t="s">
        <v>43</v>
      </c>
      <c r="D14" s="6" t="s">
        <v>13</v>
      </c>
      <c r="E14" s="7" t="s">
        <v>14</v>
      </c>
      <c r="F14" s="8" t="n">
        <v>46290</v>
      </c>
      <c r="G14" s="6" t="s">
        <v>44</v>
      </c>
    </row>
    <row r="15" customFormat="false" ht="26.85" hidden="false" customHeight="false" outlineLevel="0" collapsed="false">
      <c r="A15" s="6" t="s">
        <v>45</v>
      </c>
      <c r="B15" s="6" t="s">
        <v>42</v>
      </c>
      <c r="C15" s="6" t="s">
        <v>46</v>
      </c>
      <c r="D15" s="6" t="s">
        <v>13</v>
      </c>
      <c r="E15" s="7" t="s">
        <v>14</v>
      </c>
      <c r="F15" s="8" t="n">
        <v>46288</v>
      </c>
      <c r="G15" s="6" t="s">
        <v>47</v>
      </c>
    </row>
    <row r="16" customFormat="false" ht="15.65" hidden="false" customHeight="false" outlineLevel="0" collapsed="false">
      <c r="A16" s="6" t="s">
        <v>48</v>
      </c>
      <c r="B16" s="6" t="s">
        <v>42</v>
      </c>
      <c r="C16" s="6" t="s">
        <v>49</v>
      </c>
      <c r="D16" s="6" t="s">
        <v>13</v>
      </c>
      <c r="E16" s="9" t="s">
        <v>25</v>
      </c>
      <c r="F16" s="6"/>
      <c r="G16" s="6" t="s">
        <v>50</v>
      </c>
    </row>
    <row r="17" customFormat="false" ht="26.85" hidden="false" customHeight="false" outlineLevel="0" collapsed="false">
      <c r="A17" s="6" t="s">
        <v>51</v>
      </c>
      <c r="B17" s="6" t="s">
        <v>52</v>
      </c>
      <c r="C17" s="6" t="s">
        <v>53</v>
      </c>
      <c r="D17" s="6" t="s">
        <v>13</v>
      </c>
      <c r="E17" s="7" t="s">
        <v>14</v>
      </c>
      <c r="F17" s="8" t="n">
        <v>46289</v>
      </c>
      <c r="G17" s="6"/>
    </row>
    <row r="18" customFormat="false" ht="26.85" hidden="false" customHeight="false" outlineLevel="0" collapsed="false">
      <c r="A18" s="6" t="s">
        <v>54</v>
      </c>
      <c r="B18" s="6" t="s">
        <v>52</v>
      </c>
      <c r="C18" s="6" t="s">
        <v>55</v>
      </c>
      <c r="D18" s="6" t="s">
        <v>13</v>
      </c>
      <c r="E18" s="9" t="s">
        <v>25</v>
      </c>
      <c r="F18" s="6"/>
      <c r="G18" s="6" t="s">
        <v>56</v>
      </c>
    </row>
    <row r="19" customFormat="false" ht="26.85" hidden="false" customHeight="false" outlineLevel="0" collapsed="false">
      <c r="A19" s="6" t="s">
        <v>57</v>
      </c>
      <c r="B19" s="6" t="s">
        <v>58</v>
      </c>
      <c r="C19" s="6" t="s">
        <v>59</v>
      </c>
      <c r="D19" s="6" t="s">
        <v>21</v>
      </c>
      <c r="E19" s="7" t="s">
        <v>14</v>
      </c>
      <c r="F19" s="8" t="n">
        <v>46290</v>
      </c>
      <c r="G19" s="6"/>
    </row>
    <row r="20" customFormat="false" ht="26.85" hidden="false" customHeight="false" outlineLevel="0" collapsed="false">
      <c r="A20" s="6" t="s">
        <v>60</v>
      </c>
      <c r="B20" s="6" t="s">
        <v>58</v>
      </c>
      <c r="C20" s="6" t="s">
        <v>61</v>
      </c>
      <c r="D20" s="6" t="s">
        <v>21</v>
      </c>
      <c r="E20" s="10" t="s">
        <v>33</v>
      </c>
      <c r="F20" s="6"/>
      <c r="G20" s="6" t="s">
        <v>62</v>
      </c>
    </row>
    <row r="21" customFormat="false" ht="26.85" hidden="false" customHeight="false" outlineLevel="0" collapsed="false">
      <c r="A21" s="6" t="s">
        <v>63</v>
      </c>
      <c r="B21" s="6" t="s">
        <v>58</v>
      </c>
      <c r="C21" s="6" t="s">
        <v>64</v>
      </c>
      <c r="D21" s="6" t="s">
        <v>21</v>
      </c>
      <c r="E21" s="9" t="s">
        <v>25</v>
      </c>
      <c r="F21" s="6"/>
      <c r="G21" s="6" t="s">
        <v>65</v>
      </c>
    </row>
    <row r="22" customFormat="false" ht="15.65" hidden="false" customHeight="false" outlineLevel="0" collapsed="false">
      <c r="A22" s="6" t="s">
        <v>66</v>
      </c>
      <c r="B22" s="6" t="s">
        <v>67</v>
      </c>
      <c r="C22" s="6" t="s">
        <v>68</v>
      </c>
      <c r="D22" s="6" t="s">
        <v>13</v>
      </c>
      <c r="E22" s="7" t="s">
        <v>14</v>
      </c>
      <c r="F22" s="8" t="n">
        <v>46288</v>
      </c>
      <c r="G22" s="6" t="s">
        <v>69</v>
      </c>
    </row>
    <row r="23" customFormat="false" ht="26.85" hidden="false" customHeight="false" outlineLevel="0" collapsed="false">
      <c r="A23" s="6" t="s">
        <v>70</v>
      </c>
      <c r="B23" s="6" t="s">
        <v>71</v>
      </c>
      <c r="C23" s="6" t="s">
        <v>72</v>
      </c>
      <c r="D23" s="6" t="s">
        <v>13</v>
      </c>
      <c r="E23" s="7" t="s">
        <v>14</v>
      </c>
      <c r="F23" s="8" t="n">
        <v>46289</v>
      </c>
      <c r="G23" s="6" t="s">
        <v>73</v>
      </c>
    </row>
    <row r="24" customFormat="false" ht="15.65" hidden="false" customHeight="false" outlineLevel="0" collapsed="false">
      <c r="A24" s="6" t="s">
        <v>74</v>
      </c>
      <c r="B24" s="6" t="s">
        <v>75</v>
      </c>
      <c r="C24" s="6" t="s">
        <v>76</v>
      </c>
      <c r="D24" s="6" t="s">
        <v>13</v>
      </c>
      <c r="E24" s="7" t="s">
        <v>14</v>
      </c>
      <c r="F24" s="8" t="n">
        <v>46287</v>
      </c>
      <c r="G24" s="6"/>
    </row>
    <row r="25" customFormat="false" ht="15.65" hidden="false" customHeight="false" outlineLevel="0" collapsed="false">
      <c r="A25" s="6" t="s">
        <v>77</v>
      </c>
      <c r="B25" s="6" t="s">
        <v>75</v>
      </c>
      <c r="C25" s="6" t="s">
        <v>78</v>
      </c>
      <c r="D25" s="6" t="s">
        <v>13</v>
      </c>
      <c r="E25" s="9" t="s">
        <v>25</v>
      </c>
      <c r="F25" s="6"/>
      <c r="G25" s="6" t="s">
        <v>79</v>
      </c>
    </row>
    <row r="26" customFormat="false" ht="26.85" hidden="false" customHeight="false" outlineLevel="0" collapsed="false">
      <c r="A26" s="6" t="s">
        <v>80</v>
      </c>
      <c r="B26" s="6" t="s">
        <v>75</v>
      </c>
      <c r="C26" s="6" t="s">
        <v>81</v>
      </c>
      <c r="D26" s="6" t="s">
        <v>13</v>
      </c>
      <c r="E26" s="10" t="s">
        <v>33</v>
      </c>
      <c r="F26" s="6"/>
      <c r="G26" s="6"/>
    </row>
    <row r="27" customFormat="false" ht="26.85" hidden="false" customHeight="false" outlineLevel="0" collapsed="false">
      <c r="A27" s="6" t="s">
        <v>82</v>
      </c>
      <c r="B27" s="6" t="s">
        <v>75</v>
      </c>
      <c r="C27" s="6" t="s">
        <v>83</v>
      </c>
      <c r="D27" s="6" t="s">
        <v>13</v>
      </c>
      <c r="E27" s="7" t="s">
        <v>14</v>
      </c>
      <c r="F27" s="8" t="n">
        <v>46288</v>
      </c>
      <c r="G27" s="6" t="s">
        <v>73</v>
      </c>
    </row>
    <row r="29" customFormat="false" ht="15.7" hidden="false" customHeight="false" outlineLevel="0" collapsed="false">
      <c r="A29" s="11" t="s">
        <v>84</v>
      </c>
      <c r="B29" s="11"/>
      <c r="C29" s="11"/>
      <c r="D29" s="11"/>
      <c r="E29" s="11"/>
      <c r="F29" s="11"/>
      <c r="G29" s="11"/>
    </row>
    <row r="30" customFormat="false" ht="15.65" hidden="false" customHeight="true" outlineLevel="0" collapsed="false">
      <c r="A30" s="12" t="s">
        <v>14</v>
      </c>
      <c r="B30" s="12"/>
      <c r="C30" s="12"/>
      <c r="D30" s="13" t="n">
        <f aca="false">COUNTIF(E6:E27,"Done")</f>
        <v>12</v>
      </c>
      <c r="E30" s="12" t="s">
        <v>85</v>
      </c>
      <c r="F30" s="12"/>
      <c r="G30" s="12"/>
    </row>
    <row r="31" customFormat="false" ht="15.65" hidden="false" customHeight="true" outlineLevel="0" collapsed="false">
      <c r="A31" s="12" t="s">
        <v>25</v>
      </c>
      <c r="B31" s="12"/>
      <c r="C31" s="12"/>
      <c r="D31" s="13" t="n">
        <f aca="false">COUNTIF(E6:E27,"With client")</f>
        <v>7</v>
      </c>
      <c r="E31" s="12" t="s">
        <v>85</v>
      </c>
      <c r="F31" s="12"/>
      <c r="G31" s="12"/>
    </row>
    <row r="32" customFormat="false" ht="15.65" hidden="false" customHeight="true" outlineLevel="0" collapsed="false">
      <c r="A32" s="12" t="s">
        <v>33</v>
      </c>
      <c r="B32" s="12"/>
      <c r="C32" s="12"/>
      <c r="D32" s="13" t="n">
        <f aca="false">COUNTIF(E6:E27,"Open")</f>
        <v>3</v>
      </c>
      <c r="E32" s="12" t="s">
        <v>85</v>
      </c>
      <c r="F32" s="12"/>
      <c r="G32" s="12"/>
    </row>
    <row r="33" customFormat="false" ht="17.15" hidden="false" customHeight="true" outlineLevel="0" collapsed="false">
      <c r="A33" s="14" t="s">
        <v>86</v>
      </c>
      <c r="B33" s="14"/>
      <c r="C33" s="14"/>
      <c r="D33" s="15" t="n">
        <f aca="false">COUNTA(A6:A27)</f>
        <v>22</v>
      </c>
      <c r="E33" s="14" t="s">
        <v>85</v>
      </c>
      <c r="F33" s="14"/>
      <c r="G33" s="14"/>
    </row>
    <row r="34" customFormat="false" ht="15.65" hidden="false" customHeight="true" outlineLevel="0" collapsed="false">
      <c r="A34" s="12" t="s">
        <v>87</v>
      </c>
      <c r="B34" s="12"/>
      <c r="C34" s="12"/>
      <c r="D34" s="16" t="n">
        <f aca="false">D30/D33</f>
        <v>0.545454545454545</v>
      </c>
      <c r="E34" s="12" t="s">
        <v>85</v>
      </c>
      <c r="F34" s="12"/>
      <c r="G34" s="12"/>
    </row>
    <row r="35" customFormat="false" ht="15.65" hidden="false" customHeight="true" outlineLevel="0" collapsed="false">
      <c r="A35" s="12" t="s">
        <v>88</v>
      </c>
      <c r="B35" s="12"/>
      <c r="C35" s="12"/>
      <c r="D35" s="13" t="n">
        <f aca="false">SUM(D30:D32)-D33</f>
        <v>0</v>
      </c>
      <c r="E35" s="12" t="s">
        <v>85</v>
      </c>
      <c r="F35" s="12"/>
      <c r="G35" s="12"/>
    </row>
  </sheetData>
  <mergeCells count="16">
    <mergeCell ref="A1:G1"/>
    <mergeCell ref="A2:G2"/>
    <mergeCell ref="A3:G3"/>
    <mergeCell ref="A29:G29"/>
    <mergeCell ref="A30:C30"/>
    <mergeCell ref="E30:G30"/>
    <mergeCell ref="A31:C31"/>
    <mergeCell ref="E31:G31"/>
    <mergeCell ref="A32:C32"/>
    <mergeCell ref="E32:G32"/>
    <mergeCell ref="A33:C33"/>
    <mergeCell ref="E33:G33"/>
    <mergeCell ref="A34:C34"/>
    <mergeCell ref="E34:G34"/>
    <mergeCell ref="A35:C35"/>
    <mergeCell ref="E35:G35"/>
  </mergeCells>
  <printOptions headings="false" gridLines="false" gridLinesSet="true" horizontalCentered="false" verticalCentered="false"/>
  <pageMargins left="0.590277777777778" right="0.590277777777778" top="0.590277777777778" bottom="0.590277777777778"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LibreOffice/26.2.6.3$Linux_AARCH64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2026-09-24T15:10:00Z</dcterms:created>
  <dc:creator>Priya Nair</dc:creator>
  <dc:description/>
  <dc:language>en-GB</dc:language>
  <cp:lastModifiedBy>Priya Nair</cp:lastModifiedBy>
  <dcterms:modified xsi:type="dcterms:W3CDTF">2026-09-28T16:20:00Z</dcterms:modified>
  <cp:revision>0</cp:revision>
  <dc:subject/>
  <dc:title>Series A Due Diligence Tracker</dc:title>
</cp:coreProperties>
</file>