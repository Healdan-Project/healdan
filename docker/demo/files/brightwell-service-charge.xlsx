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charge budg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<sst xmlns="http://schemas.openxmlformats.org/spreadsheetml/2006/main" count="48" uniqueCount="35">
  <si>
    <t xml:space="preserve">Weir Lane Trading Estate – service charge budget</t>
  </si>
  <si>
    <t xml:space="preserve">1 October 2026 to 30 September 2027</t>
  </si>
  <si>
    <t xml:space="preserve">Issued by Harrow &amp; Lund, Commercial Agents, for Penwick Property Limited on 30 September 2026. Prepared by Fiona Lund. Figures are before VAT. Blue figures are inputs; the rest are worked out.</t>
  </si>
  <si>
    <t xml:space="preserve">Estate costs for the year</t>
  </si>
  <si>
    <t xml:space="preserve">Item</t>
  </si>
  <si>
    <t xml:space="preserve">Budget</t>
  </si>
  <si>
    <t xml:space="preserve"/>
  </si>
  <si>
    <t xml:space="preserve">Estate road repairs</t>
  </si>
  <si>
    <t xml:space="preserve">Landscaping</t>
  </si>
  <si>
    <t xml:space="preserve">Lighting: electricity</t>
  </si>
  <si>
    <t xml:space="preserve">Lighting: maintenance</t>
  </si>
  <si>
    <t xml:space="preserve">Security patrols</t>
  </si>
  <si>
    <t xml:space="preserve">Gate maintenance</t>
  </si>
  <si>
    <t xml:space="preserve">Insurance of common parts</t>
  </si>
  <si>
    <t xml:space="preserve">Reserve fund</t>
  </si>
  <si>
    <t xml:space="preserve">Estate costs</t>
  </si>
  <si>
    <t xml:space="preserve">Management fee, as a percentage of the estate costs</t>
  </si>
  <si>
    <t xml:space="preserve">Management fee</t>
  </si>
  <si>
    <t xml:space="preserve">Total to be recovered from the units</t>
  </si>
  <si>
    <t xml:space="preserve">Each unit’s share</t>
  </si>
  <si>
    <t xml:space="preserve">Unit</t>
  </si>
  <si>
    <t xml:space="preserve">Share of the total</t>
  </si>
  <si>
    <t xml:space="preserve">Yearly charge</t>
  </si>
  <si>
    <t xml:space="preserve">Quarterly charge</t>
  </si>
  <si>
    <t xml:space="preserve">Unit 1</t>
  </si>
  <si>
    <t xml:space="preserve">Unit 2</t>
  </si>
  <si>
    <t xml:space="preserve">Unit 3</t>
  </si>
  <si>
    <t xml:space="preserve">Unit 4 (Brightwell Bakeries Ltd)</t>
  </si>
  <si>
    <t xml:space="preserve">Unit 5</t>
  </si>
  <si>
    <t xml:space="preserve">Unit 6</t>
  </si>
  <si>
    <t xml:space="preserve">All six units</t>
  </si>
  <si>
    <t xml:space="preserve">Notes</t>
  </si>
  <si>
    <t xml:space="preserve">1.  Each unit pays its fixed share of the total in four equal quarterly instalments, rounded to the nearest penny.</t>
  </si>
  <si>
    <t xml:space="preserve">2.  The reserve fund is held for future repairs to the road and gates and is not spent in this year.</t>
  </si>
  <si>
    <t xml:space="preserve">3.  The shares add up to 100%. Unit 4’s share is 8.5%, which is about £2,560 a year on this budget.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</si>
</sst>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#"/>
    <numFmt numFmtId="166" formatCode="0"/>
    <numFmt numFmtId="167" formatCode="[$£-809]#,##0.00"/>
    <numFmt numFmtId="168" formatCode="0.#%"/>
    <numFmt numFmtId="169" formatCode="d\ mmm\ yyyy"/>
  </numFmts>
  <fonts count="12">
    <font>
      <sz val="9.5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D4E5F"/>
      <name val="Calibri"/>
      <family val="2"/>
    </font>
    <font>
      <sz val="9.5"/>
      <color rgb="FF333333"/>
      <name val="Calibri"/>
      <family val="2"/>
    </font>
    <font>
      <b val="true"/>
      <sz val="10.5"/>
      <color rgb="FFFFFFFF"/>
      <name val="Calibri"/>
      <family val="2"/>
    </font>
    <font>
      <b val="true"/>
      <sz val="9.5"/>
      <name val="Calibri"/>
      <family val="2"/>
    </font>
    <font>
      <sz val="9.5"/>
      <color rgb="FF0B3D91"/>
      <name val="Calibri"/>
      <family val="2"/>
    </font>
    <font>
      <b val="true"/>
      <sz val="10.5"/>
      <name val="Calibri"/>
      <family val="2"/>
    </font>
    <font>
      <b val="true"/>
      <sz val="11"/>
      <color rgb="FFFFFFFF"/>
      <name val="Calibri"/>
      <family val="2"/>
    </font>
    <font>
      <b val="true"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D4E5F"/>
        <bgColor rgb="FF0B3D91"/>
      </patternFill>
    </fill>
    <fill>
      <patternFill patternType="solid">
        <fgColor rgb="FFE6EEF0"/>
        <bgColor rgb="FFFFF3D1"/>
      </patternFill>
    </fill>
    <fill>
      <patternFill patternType="solid">
        <fgColor rgb="FFFFF3D1"/>
        <bgColor rgb="FFE6EEF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D4E5F"/>
      </bottom>
      <diagonal/>
    </border>
    <border diagonalUp="false" diagonalDown="false">
      <left/>
      <right/>
      <top/>
      <bottom style="hair">
        <color rgb="FFCCCCCC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rgb="FF1D4E5F"/>
      </top>
      <bottom style="hair">
        <color rgb="FF1D4E5F"/>
      </bottom>
      <diagonal/>
    </border>
  </borders>
  <cellStyleXfs count="4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top" textRotation="0" wrapText="true" indent="0" shrinkToFit="false"/>
    </xf>
    <xf numFmtId="164" fontId="6" fillId="2" borderId="0" applyFont="true" applyBorder="false" applyAlignment="false" applyProtection="false"/>
    <xf numFmtId="164" fontId="7" fillId="3" borderId="1" applyFont="true" applyBorder="true" applyAlignment="true" applyProtection="false">
      <alignment horizontal="general" vertical="bottom" textRotation="0" wrapText="true" indent="0" shrinkToFit="false"/>
    </xf>
    <xf numFmtId="164" fontId="7" fillId="3" borderId="1" applyFont="true" applyBorder="true" applyAlignment="true" applyProtection="false">
      <alignment horizontal="right" vertical="bottom" textRotation="0" wrapText="true" indent="0" shrinkToFit="false"/>
    </xf>
    <xf numFmtId="164" fontId="7" fillId="3" borderId="1" applyFont="true" applyBorder="true" applyAlignment="true" applyProtection="false">
      <alignment horizontal="center" vertical="bottom" textRotation="0" wrapText="true" indent="0" shrinkToFit="false"/>
    </xf>
    <xf numFmtId="164" fontId="0" fillId="0" borderId="2" applyFont="false" applyBorder="true" applyAlignment="true" applyProtection="false">
      <alignment horizontal="general" vertical="bottom" textRotation="0" wrapText="true" indent="0" shrinkToFit="false"/>
    </xf>
    <xf numFmtId="164" fontId="0" fillId="0" borderId="2" applyFont="false" applyBorder="true" applyAlignment="true" applyProtection="false">
      <alignment horizontal="center" vertical="bottom" textRotation="0" wrapText="true" indent="0" shrinkToFit="false"/>
    </xf>
    <xf numFmtId="165" fontId="0" fillId="0" borderId="2" applyFont="false" applyBorder="true" applyAlignment="true" applyProtection="false">
      <alignment horizontal="general" vertical="bottom" textRotation="0" wrapText="true" indent="0" shrinkToFit="false"/>
    </xf>
    <xf numFmtId="166" fontId="0" fillId="0" borderId="2" applyFont="false" applyBorder="true" applyAlignment="true" applyProtection="false">
      <alignment horizontal="right" vertical="bottom" textRotation="0" wrapText="true" indent="0" shrinkToFit="false"/>
    </xf>
    <xf numFmtId="167" fontId="0" fillId="0" borderId="2" applyFont="false" applyBorder="true" applyAlignment="true" applyProtection="false">
      <alignment horizontal="general" vertical="bottom" textRotation="0" wrapText="true" indent="0" shrinkToFit="false"/>
    </xf>
    <xf numFmtId="167" fontId="8" fillId="0" borderId="2" applyFont="true" applyBorder="true" applyAlignment="true" applyProtection="false">
      <alignment horizontal="general" vertical="bottom" textRotation="0" wrapText="true" indent="0" shrinkToFit="false"/>
    </xf>
    <xf numFmtId="168" fontId="0" fillId="0" borderId="2" applyFont="false" applyBorder="true" applyAlignment="true" applyProtection="false">
      <alignment horizontal="general" vertical="bottom" textRotation="0" wrapText="true" indent="0" shrinkToFit="false"/>
    </xf>
    <xf numFmtId="168" fontId="8" fillId="0" borderId="2" applyFont="true" applyBorder="true" applyAlignment="true" applyProtection="false">
      <alignment horizontal="general" vertical="bottom" textRotation="0" wrapText="true" indent="0" shrinkToFit="false"/>
    </xf>
    <xf numFmtId="169" fontId="0" fillId="0" borderId="2" applyFont="false" applyBorder="true" applyAlignment="true" applyProtection="false">
      <alignment horizontal="right" vertical="bottom" textRotation="0" wrapText="true" indent="0" shrinkToFit="false"/>
    </xf>
    <xf numFmtId="169" fontId="8" fillId="0" borderId="2" applyFont="true" applyBorder="true" applyAlignment="true" applyProtection="false">
      <alignment horizontal="right" vertical="bottom" textRotation="0" wrapText="true" indent="0" shrinkToFit="false"/>
    </xf>
    <xf numFmtId="164" fontId="7" fillId="4" borderId="2" applyFont="true" applyBorder="true" applyAlignment="true" applyProtection="false">
      <alignment horizontal="general" vertical="bottom" textRotation="0" wrapText="true" indent="0" shrinkToFit="false"/>
    </xf>
    <xf numFmtId="167" fontId="7" fillId="4" borderId="2" applyFont="true" applyBorder="true" applyAlignment="true" applyProtection="false">
      <alignment horizontal="general" vertical="bottom" textRotation="0" wrapText="true" indent="0" shrinkToFit="false"/>
    </xf>
    <xf numFmtId="168" fontId="7" fillId="4" borderId="2" applyFont="true" applyBorder="true" applyAlignment="true" applyProtection="false">
      <alignment horizontal="general" vertical="bottom" textRotation="0" wrapText="true" indent="0" shrinkToFit="false"/>
    </xf>
    <xf numFmtId="164" fontId="7" fillId="0" borderId="3" applyFont="true" applyBorder="true" applyAlignment="true" applyProtection="false">
      <alignment horizontal="general" vertical="bottom" textRotation="0" wrapText="true" indent="0" shrinkToFit="false"/>
    </xf>
    <xf numFmtId="167" fontId="7" fillId="0" borderId="3" applyFont="true" applyBorder="true" applyAlignment="true" applyProtection="false">
      <alignment horizontal="general" vertical="bottom" textRotation="0" wrapText="true" indent="0" shrinkToFit="false"/>
    </xf>
    <xf numFmtId="168" fontId="7" fillId="0" borderId="3" applyFont="true" applyBorder="true" applyAlignment="true" applyProtection="false">
      <alignment horizontal="general" vertical="bottom" textRotation="0" wrapText="true" indent="0" shrinkToFit="false"/>
    </xf>
    <xf numFmtId="164" fontId="9" fillId="3" borderId="4" applyFont="true" applyBorder="true" applyAlignment="true" applyProtection="false">
      <alignment horizontal="general" vertical="bottom" textRotation="0" wrapText="true" indent="0" shrinkToFit="false"/>
    </xf>
    <xf numFmtId="167" fontId="9" fillId="3" borderId="4" applyFont="true" applyBorder="true" applyAlignment="true" applyProtection="false">
      <alignment horizontal="general" vertical="bottom" textRotation="0" wrapText="true" indent="0" shrinkToFit="false"/>
    </xf>
    <xf numFmtId="168" fontId="9" fillId="3" borderId="4" applyFont="true" applyBorder="true" applyAlignment="true" applyProtection="false">
      <alignment horizontal="general" vertical="bottom" textRotation="0" wrapText="true" indent="0" shrinkToFit="false"/>
    </xf>
    <xf numFmtId="164" fontId="10" fillId="2" borderId="0" applyFont="true" applyBorder="false" applyAlignment="false" applyProtection="false"/>
    <xf numFmtId="167" fontId="10" fillId="2" borderId="0" applyFont="true" applyBorder="false" applyAlignment="true" applyProtection="false">
      <alignment horizontal="right" vertical="bottom" textRotation="0" wrapText="false" indent="0" shrinkToFit="false"/>
    </xf>
    <xf numFmtId="164" fontId="1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6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3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7" fillId="3" borderId="1" xfId="24" applyFont="true" applyBorder="false" applyAlignment="false" applyProtection="false">
      <alignment horizontal="right" vertical="bottom" textRotation="0" wrapText="true" indent="0" shrinkToFit="false"/>
      <protection locked="true" hidden="false"/>
    </xf>
    <xf numFmtId="164" fontId="7" fillId="3" borderId="1" xfId="23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0" fillId="0" borderId="2" xfId="26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8" fillId="0" borderId="2" xfId="31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0" fillId="0" borderId="2" xfId="26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7" fillId="0" borderId="3" xfId="39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7" fillId="0" borderId="3" xfId="4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7" fillId="0" borderId="3" xfId="39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8" fontId="8" fillId="0" borderId="2" xfId="33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0" fillId="0" borderId="2" xfId="3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9" fillId="3" borderId="4" xfId="42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9" fillId="3" borderId="4" xfId="43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9" fillId="3" borderId="4" xfId="42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7" fillId="4" borderId="2" xfId="36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8" fontId="7" fillId="4" borderId="2" xfId="38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7" fillId="4" borderId="2" xfId="37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8" fontId="9" fillId="3" borderId="4" xfId="44" applyFont="fals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3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itle" xfId="20"/>
    <cellStyle name="NoteWrap" xfId="21"/>
    <cellStyle name="Section" xfId="22"/>
    <cellStyle name="ColHead" xfId="23"/>
    <cellStyle name="ColHeadRight" xfId="24"/>
    <cellStyle name="ColHeadCentre" xfId="25"/>
    <cellStyle name="Row" xfId="26"/>
    <cellStyle name="RowCentre" xfId="27"/>
    <cellStyle name="RowNum" xfId="28"/>
    <cellStyle name="RowInt" xfId="29"/>
    <cellStyle name="RowMoney" xfId="30"/>
    <cellStyle name="RowMoneyIn" xfId="31"/>
    <cellStyle name="RowPct" xfId="32"/>
    <cellStyle name="RowPctIn" xfId="33"/>
    <cellStyle name="RowDate" xfId="34"/>
    <cellStyle name="RowDateIn" xfId="35"/>
    <cellStyle name="HiRow" xfId="36"/>
    <cellStyle name="HiMoney" xfId="37"/>
    <cellStyle name="HiPct" xfId="38"/>
    <cellStyle name="Sub" xfId="39"/>
    <cellStyle name="SubMoney" xfId="40"/>
    <cellStyle name="SubPct" xfId="41"/>
    <cellStyle name="Total" xfId="42"/>
    <cellStyle name="TotalMoney" xfId="43"/>
    <cellStyle name="TotalPct" xfId="44"/>
    <cellStyle name="Due" xfId="45"/>
    <cellStyle name="DueMoney" xfId="46"/>
    <cellStyle name="Heading" xfId="4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D1"/>
      <rgbColor rgb="FFE6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D91"/>
      <rgbColor rgb="FF339966"/>
      <rgbColor rgb="FF003300"/>
      <rgbColor rgb="FF333300"/>
      <rgbColor rgb="FF993300"/>
      <rgbColor rgb="FF993366"/>
      <rgbColor rgb="FF1D4E5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3359375" defaultRowHeight="12.8" customHeight="false" zeroHeight="false" outlineLevelRow="0" outlineLevelCol="0"/>
  <cols>
    <col collapsed="false" customWidth="true" hidden="false" outlineLevel="0" max="1" min="1" style="0" width="42.52"/>
    <col collapsed="false" customWidth="true" hidden="false" outlineLevel="0" max="2" min="2" style="0" width="17.72"/>
    <col collapsed="false" customWidth="true" hidden="false" outlineLevel="0" max="4" min="3" style="0" width="21.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3.8" hidden="false" customHeight="false" outlineLevel="0" collapsed="false">
      <c r="A2" s="2" t="s">
        <v>1</v>
      </c>
      <c r="B2" s="2"/>
      <c r="C2" s="2"/>
      <c r="D2" s="2"/>
    </row>
    <row r="3" customFormat="false" ht="28.35" hidden="false" customHeight="true" outlineLevel="0" collapsed="false">
      <c r="A3" s="3" t="s">
        <v>2</v>
      </c>
      <c r="B3" s="3"/>
      <c r="C3" s="3"/>
      <c r="D3" s="3"/>
    </row>
    <row r="5" customFormat="false" ht="15.7" hidden="false" customHeight="false" outlineLevel="0" collapsed="false">
      <c r="A5" s="4" t="s">
        <v>3</v>
      </c>
      <c r="B5" s="4"/>
      <c r="C5" s="4"/>
      <c r="D5" s="4"/>
    </row>
    <row r="6" customFormat="false" ht="15.65" hidden="false" customHeight="true" outlineLevel="0" collapsed="false">
      <c r="A6" s="5" t="s">
        <v>4</v>
      </c>
      <c r="B6" s="5"/>
      <c r="C6" s="6" t="s">
        <v>5</v>
      </c>
      <c r="D6" s="7" t="s">
        <v>6</v>
      </c>
    </row>
    <row r="7" customFormat="false" ht="15.65" hidden="false" customHeight="true" outlineLevel="0" collapsed="false">
      <c r="A7" s="8" t="s">
        <v>7</v>
      </c>
      <c r="B7" s="8"/>
      <c r="C7" s="9" t="n">
        <v>6200</v>
      </c>
      <c r="D7" s="10" t="s">
        <v>6</v>
      </c>
    </row>
    <row r="8" customFormat="false" ht="15.65" hidden="false" customHeight="true" outlineLevel="0" collapsed="false">
      <c r="A8" s="8" t="s">
        <v>8</v>
      </c>
      <c r="B8" s="8"/>
      <c r="C8" s="9" t="n">
        <v>3800</v>
      </c>
      <c r="D8" s="10" t="s">
        <v>6</v>
      </c>
    </row>
    <row r="9" customFormat="false" ht="15.65" hidden="false" customHeight="true" outlineLevel="0" collapsed="false">
      <c r="A9" s="8" t="s">
        <v>9</v>
      </c>
      <c r="B9" s="8"/>
      <c r="C9" s="9" t="n">
        <v>2400</v>
      </c>
      <c r="D9" s="10" t="s">
        <v>6</v>
      </c>
    </row>
    <row r="10" customFormat="false" ht="15.65" hidden="false" customHeight="true" outlineLevel="0" collapsed="false">
      <c r="A10" s="8" t="s">
        <v>10</v>
      </c>
      <c r="B10" s="8"/>
      <c r="C10" s="9" t="n">
        <v>1100</v>
      </c>
      <c r="D10" s="10" t="s">
        <v>6</v>
      </c>
    </row>
    <row r="11" customFormat="false" ht="15.65" hidden="false" customHeight="true" outlineLevel="0" collapsed="false">
      <c r="A11" s="8" t="s">
        <v>11</v>
      </c>
      <c r="B11" s="8"/>
      <c r="C11" s="9" t="n">
        <v>9600</v>
      </c>
      <c r="D11" s="10" t="s">
        <v>6</v>
      </c>
    </row>
    <row r="12" customFormat="false" ht="15.65" hidden="false" customHeight="true" outlineLevel="0" collapsed="false">
      <c r="A12" s="8" t="s">
        <v>12</v>
      </c>
      <c r="B12" s="8"/>
      <c r="C12" s="9" t="n">
        <v>850</v>
      </c>
      <c r="D12" s="10" t="s">
        <v>6</v>
      </c>
    </row>
    <row r="13" customFormat="false" ht="15.65" hidden="false" customHeight="true" outlineLevel="0" collapsed="false">
      <c r="A13" s="8" t="s">
        <v>13</v>
      </c>
      <c r="B13" s="8"/>
      <c r="C13" s="9" t="n">
        <v>1450</v>
      </c>
      <c r="D13" s="10" t="s">
        <v>6</v>
      </c>
    </row>
    <row r="14" customFormat="false" ht="15.65" hidden="false" customHeight="true" outlineLevel="0" collapsed="false">
      <c r="A14" s="8" t="s">
        <v>14</v>
      </c>
      <c r="B14" s="8"/>
      <c r="C14" s="9" t="n">
        <v>2000</v>
      </c>
      <c r="D14" s="10" t="s">
        <v>6</v>
      </c>
    </row>
    <row r="15" customFormat="false" ht="15.65" hidden="false" customHeight="true" outlineLevel="0" collapsed="false">
      <c r="A15" s="11" t="s">
        <v>15</v>
      </c>
      <c r="B15" s="11"/>
      <c r="C15" s="12" t="n">
        <f aca="false">SUM(C7:C14)</f>
        <v>27400</v>
      </c>
      <c r="D15" s="13" t="s">
        <v>6</v>
      </c>
    </row>
    <row r="16" customFormat="false" ht="15.65" hidden="false" customHeight="true" outlineLevel="0" collapsed="false">
      <c r="A16" s="8" t="s">
        <v>16</v>
      </c>
      <c r="B16" s="8"/>
      <c r="C16" s="14" t="n">
        <v>0.1</v>
      </c>
      <c r="D16" s="10" t="s">
        <v>6</v>
      </c>
    </row>
    <row r="17" customFormat="false" ht="15.65" hidden="false" customHeight="true" outlineLevel="0" collapsed="false">
      <c r="A17" s="8" t="s">
        <v>17</v>
      </c>
      <c r="B17" s="8"/>
      <c r="C17" s="15" t="n">
        <f aca="false">ROUND(C15*C16,2)</f>
        <v>2740</v>
      </c>
      <c r="D17" s="10" t="s">
        <v>6</v>
      </c>
    </row>
    <row r="18" customFormat="false" ht="17.15" hidden="false" customHeight="true" outlineLevel="0" collapsed="false">
      <c r="A18" s="16" t="s">
        <v>18</v>
      </c>
      <c r="B18" s="16"/>
      <c r="C18" s="17" t="n">
        <f aca="false">C15+C17</f>
        <v>30140</v>
      </c>
      <c r="D18" s="18" t="s">
        <v>6</v>
      </c>
    </row>
    <row r="20" customFormat="false" ht="15.7" hidden="false" customHeight="false" outlineLevel="0" collapsed="false">
      <c r="A20" s="4" t="s">
        <v>19</v>
      </c>
      <c r="B20" s="4"/>
      <c r="C20" s="4"/>
      <c r="D20" s="4"/>
    </row>
    <row r="21" customFormat="false" ht="15.65" hidden="false" customHeight="false" outlineLevel="0" collapsed="false">
      <c r="A21" s="7" t="s">
        <v>20</v>
      </c>
      <c r="B21" s="6" t="s">
        <v>21</v>
      </c>
      <c r="C21" s="6" t="s">
        <v>22</v>
      </c>
      <c r="D21" s="6" t="s">
        <v>23</v>
      </c>
    </row>
    <row r="22" customFormat="false" ht="15.65" hidden="false" customHeight="false" outlineLevel="0" collapsed="false">
      <c r="A22" s="10" t="s">
        <v>24</v>
      </c>
      <c r="B22" s="14" t="n">
        <v>0.22</v>
      </c>
      <c r="C22" s="15" t="n">
        <f aca="false">ROUND($C$18*B22,2)</f>
        <v>6630.8</v>
      </c>
      <c r="D22" s="15" t="n">
        <f aca="false">ROUND(C22/4,2)</f>
        <v>1657.7</v>
      </c>
    </row>
    <row r="23" customFormat="false" ht="15.65" hidden="false" customHeight="false" outlineLevel="0" collapsed="false">
      <c r="A23" s="10" t="s">
        <v>25</v>
      </c>
      <c r="B23" s="14" t="n">
        <v>0.18</v>
      </c>
      <c r="C23" s="15" t="n">
        <f aca="false">ROUND($C$18*B23,2)</f>
        <v>5425.2</v>
      </c>
      <c r="D23" s="15" t="n">
        <f aca="false">ROUND(C23/4,2)</f>
        <v>1356.3</v>
      </c>
    </row>
    <row r="24" customFormat="false" ht="15.65" hidden="false" customHeight="false" outlineLevel="0" collapsed="false">
      <c r="A24" s="10" t="s">
        <v>26</v>
      </c>
      <c r="B24" s="14" t="n">
        <v>0.15</v>
      </c>
      <c r="C24" s="15" t="n">
        <f aca="false">ROUND($C$18*B24,2)</f>
        <v>4521</v>
      </c>
      <c r="D24" s="15" t="n">
        <f aca="false">ROUND(C24/4,2)</f>
        <v>1130.25</v>
      </c>
    </row>
    <row r="25" customFormat="false" ht="15.65" hidden="false" customHeight="false" outlineLevel="0" collapsed="false">
      <c r="A25" s="19" t="s">
        <v>27</v>
      </c>
      <c r="B25" s="20" t="n">
        <v>0.085</v>
      </c>
      <c r="C25" s="21" t="n">
        <f aca="false">ROUND($C$18*B25,2)</f>
        <v>2561.9</v>
      </c>
      <c r="D25" s="21" t="n">
        <f aca="false">ROUND(C25/4,2)</f>
        <v>640.48</v>
      </c>
    </row>
    <row r="26" customFormat="false" ht="15.65" hidden="false" customHeight="false" outlineLevel="0" collapsed="false">
      <c r="A26" s="10" t="s">
        <v>28</v>
      </c>
      <c r="B26" s="14" t="n">
        <v>0.165</v>
      </c>
      <c r="C26" s="15" t="n">
        <f aca="false">ROUND($C$18*B26,2)</f>
        <v>4973.1</v>
      </c>
      <c r="D26" s="15" t="n">
        <f aca="false">ROUND(C26/4,2)</f>
        <v>1243.28</v>
      </c>
    </row>
    <row r="27" customFormat="false" ht="15.65" hidden="false" customHeight="false" outlineLevel="0" collapsed="false">
      <c r="A27" s="10" t="s">
        <v>29</v>
      </c>
      <c r="B27" s="14" t="n">
        <v>0.2</v>
      </c>
      <c r="C27" s="15" t="n">
        <f aca="false">ROUND($C$18*B27,2)</f>
        <v>6028</v>
      </c>
      <c r="D27" s="15" t="n">
        <f aca="false">ROUND(C27/4,2)</f>
        <v>1507</v>
      </c>
    </row>
    <row r="28" customFormat="false" ht="17.15" hidden="false" customHeight="false" outlineLevel="0" collapsed="false">
      <c r="A28" s="18" t="s">
        <v>30</v>
      </c>
      <c r="B28" s="22" t="n">
        <f aca="false">SUM(B22:B27)</f>
        <v>1</v>
      </c>
      <c r="C28" s="17" t="n">
        <f aca="false">SUM(C22:C27)</f>
        <v>30140</v>
      </c>
      <c r="D28" s="18" t="s">
        <v>6</v>
      </c>
    </row>
    <row r="30" customFormat="false" ht="13.8" hidden="false" customHeight="false" outlineLevel="0" collapsed="false">
      <c r="A30" s="2" t="s">
        <v>31</v>
      </c>
      <c r="B30" s="2"/>
      <c r="C30" s="2"/>
      <c r="D30" s="2"/>
    </row>
    <row r="31" customFormat="false" ht="17" hidden="false" customHeight="true" outlineLevel="0" collapsed="false">
      <c r="A31" s="3" t="s">
        <v>32</v>
      </c>
      <c r="B31" s="3"/>
      <c r="C31" s="3"/>
      <c r="D31" s="3"/>
    </row>
    <row r="32" customFormat="false" ht="17" hidden="false" customHeight="true" outlineLevel="0" collapsed="false">
      <c r="A32" s="3" t="s">
        <v>33</v>
      </c>
      <c r="B32" s="3"/>
      <c r="C32" s="3"/>
      <c r="D32" s="3"/>
    </row>
    <row r="33" customFormat="false" ht="17" hidden="false" customHeight="true" outlineLevel="0" collapsed="false">
      <c r="A33" s="3" t="s">
        <v>34</v>
      </c>
      <c r="B33" s="3"/>
      <c r="C33" s="3"/>
      <c r="D33" s="3"/>
    </row>
  </sheetData>
  <mergeCells count="22">
    <mergeCell ref="A1:D1"/>
    <mergeCell ref="A2:D2"/>
    <mergeCell ref="A3:D3"/>
    <mergeCell ref="A5:D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0:D20"/>
    <mergeCell ref="A30:D30"/>
    <mergeCell ref="A31:D31"/>
    <mergeCell ref="A32:D32"/>
    <mergeCell ref="A33:D33"/>
  </mergeCells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2026-09-29T14:00:00Z</dcterms:created>
  <dc:creator>Fiona Lund</dc:creator>
  <dc:description/>
  <dc:language>en-GB</dc:language>
  <cp:lastModifiedBy>Fiona Lund</cp:lastModifiedBy>
  <dcterms:modified xsi:type="dcterms:W3CDTF">2026-09-30T11:25:00Z</dcterms:modified>
  <cp:revision>0</cp:revision>
  <dc:subject/>
  <dc:title>Service Charge Budget 2026–27 – Weir Lane Trading Estate</dc:title>
</cp:coreProperties>
</file>