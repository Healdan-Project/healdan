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ytim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<sst xmlns="http://schemas.openxmlformats.org/spreadsheetml/2006/main" count="91" uniqueCount="35">
  <si>
    <t xml:space="preserve">Saltmarsh Shipping Ltd – laytime calculation, MV Northern Star</t>
  </si>
  <si>
    <t xml:space="preserve">Voyage charterparty dated 12 March 2026 – 5,200 tonnes of packaged sawn timber discharged at Hartmouth – laytime and demurrage under clauses 9 and 10. Prepared by Priya Nair, Ashcombe Reeve LLP, 22 September 2026 (our ref TR/1001.1/PN). All times are in 2026, local time at Hartmouth; times in blue are taken from the master’s log and the harbour notices, and everything else is calculated.</t>
  </si>
  <si>
    <t xml:space="preserve">From the charterparty and the master’s log</t>
  </si>
  <si>
    <t xml:space="preserve"/>
  </si>
  <si>
    <t xml:space="preserve">Laytime allowed (clause 9)</t>
  </si>
  <si>
    <t xml:space="preserve">weather working days</t>
  </si>
  <si>
    <t xml:space="preserve">Demurrage rate (clause 10)</t>
  </si>
  <si>
    <t xml:space="preserve">a day, pro rata</t>
  </si>
  <si>
    <t xml:space="preserve">Notice of readiness given</t>
  </si>
  <si>
    <t xml:space="preserve">Discharge completed</t>
  </si>
  <si>
    <t xml:space="preserve">Owners’ calculation (Dunmere Pryce LLP, 15 September 2026)</t>
  </si>
  <si>
    <t xml:space="preserve">Charterers’ calculation (clause 9)</t>
  </si>
  <si>
    <t xml:space="preserve">Period</t>
  </si>
  <si>
    <t xml:space="preserve">From</t>
  </si>
  <si>
    <t xml:space="preserve">To</t>
  </si>
  <si>
    <t xml:space="preserve">Days</t>
  </si>
  <si>
    <t xml:space="preserve">Counts?</t>
  </si>
  <si>
    <t xml:space="preserve">Laytime from notice</t>
  </si>
  <si>
    <t xml:space="preserve">Laytime starts (clause 9.2)</t>
  </si>
  <si>
    <t xml:space="preserve">Yes</t>
  </si>
  <si>
    <t xml:space="preserve">Demurrage to completion</t>
  </si>
  <si>
    <t xml:space="preserve">Weather stoppage (41/26, 42/26)</t>
  </si>
  <si>
    <t xml:space="preserve">No</t>
  </si>
  <si>
    <t xml:space="preserve">Sunday 9 August, also weather</t>
  </si>
  <si>
    <t xml:space="preserve">Weather stoppage continues</t>
  </si>
  <si>
    <t xml:space="preserve">Discharge resumes; laytime runs out</t>
  </si>
  <si>
    <t xml:space="preserve">Laytime used</t>
  </si>
  <si>
    <t xml:space="preserve">On demurrage: every hour counts</t>
  </si>
  <si>
    <t xml:space="preserve">Days on demurrage</t>
  </si>
  <si>
    <t xml:space="preserve">Demurrage at the daily rate</t>
  </si>
  <si>
    <t xml:space="preserve">Difference between the two calculations (owners’ figure less charterers’ figure)</t>
  </si>
  <si>
    <t xml:space="preserve">Notes</t>
  </si>
  <si>
    <t xml:space="preserve">1.  Clause 9.2 starts laytime at 08:00 on the working day after notice of readiness, so the charterers’ calculation starts at 08:00 on Tuesday 4 August; the owners count from the notice itself.</t>
  </si>
  <si>
    <t xml:space="preserve">2.  Clause 9.4: no time counts while weather stops discharge. Harbour notices 41/26 and 42/26 and the master’s log put the stoppage at 00:00 on Friday 7 August to 24:00 on Monday 10 August; 9 August was also a Sunday, not used.</t>
  </si>
  <si>
    <t xml:space="preserve">3.  Sunday 16 August counts in full because the vessel was already on demurrage (clause 10.2): once on demurrage, every hour counts, including Sundays, holidays and weather.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</si>
</sst>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"/>
    <numFmt numFmtId="167" formatCode="&quot;USD &quot;#,##0.00"/>
    <numFmt numFmtId="168" formatCode="ddd\ d\ mmm\ hh:mm"/>
  </numFmts>
  <fonts count="11">
    <font>
      <sz val="9.5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4E5F"/>
      <name val="Calibri"/>
      <family val="2"/>
    </font>
    <font>
      <sz val="9.5"/>
      <color rgb="FF333333"/>
      <name val="Calibri"/>
      <family val="2"/>
    </font>
    <font>
      <b val="true"/>
      <sz val="10.5"/>
      <color rgb="FFFFFFFF"/>
      <name val="Calibri"/>
      <family val="2"/>
    </font>
    <font>
      <b val="true"/>
      <sz val="9.5"/>
      <name val="Calibri"/>
      <family val="2"/>
    </font>
    <font>
      <sz val="9.5"/>
      <color rgb="FF0B3D91"/>
      <name val="Calibri"/>
      <family val="2"/>
    </font>
    <font>
      <b val="true"/>
      <sz val="10.5"/>
      <name val="Calibri"/>
      <family val="2"/>
    </font>
    <font>
      <b val="true"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D4E5F"/>
        <bgColor rgb="FF0B3D91"/>
      </patternFill>
    </fill>
    <fill>
      <patternFill patternType="solid">
        <fgColor rgb="FFE6EEF0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D4E5F"/>
      </bottom>
      <diagonal/>
    </border>
    <border diagonalUp="false" diagonalDown="false">
      <left/>
      <right/>
      <top/>
      <bottom style="hair">
        <color rgb="FFCCCCCC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rgb="FF1D4E5F"/>
      </top>
      <bottom style="hair">
        <color rgb="FF1D4E5F"/>
      </bottom>
      <diagonal/>
    </border>
  </borders>
  <cellStyleXfs count="4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top" textRotation="0" wrapText="true" indent="0" shrinkToFit="false"/>
    </xf>
    <xf numFmtId="164" fontId="6" fillId="2" borderId="0" applyFont="true" applyBorder="false" applyAlignment="false" applyProtection="false"/>
    <xf numFmtId="164" fontId="7" fillId="3" borderId="1" applyFont="true" applyBorder="true" applyAlignment="false" applyProtection="false"/>
    <xf numFmtId="164" fontId="7" fillId="3" borderId="1" applyFont="true" applyBorder="true" applyAlignment="true" applyProtection="false">
      <alignment horizontal="right" vertical="bottom" textRotation="0" wrapText="false" indent="0" shrinkToFit="false"/>
    </xf>
    <xf numFmtId="164" fontId="7" fillId="3" borderId="1" applyFont="true" applyBorder="true" applyAlignment="true" applyProtection="false">
      <alignment horizontal="center" vertical="bottom" textRotation="0" wrapText="false" indent="0" shrinkToFit="false"/>
    </xf>
    <xf numFmtId="164" fontId="0" fillId="0" borderId="2" applyFont="false" applyBorder="true" applyAlignment="true" applyProtection="false">
      <alignment horizontal="general" vertical="bottom" textRotation="0" wrapText="true" indent="0" shrinkToFit="false"/>
    </xf>
    <xf numFmtId="164" fontId="0" fillId="0" borderId="2" applyFont="false" applyBorder="true" applyAlignment="false" applyProtection="false"/>
    <xf numFmtId="164" fontId="0" fillId="0" borderId="2" applyFont="false" applyBorder="true" applyAlignment="true" applyProtection="false">
      <alignment horizontal="center" vertical="bottom" textRotation="0" wrapText="true" indent="0" shrinkToFit="false"/>
    </xf>
    <xf numFmtId="165" fontId="0" fillId="0" borderId="2" applyFont="false" applyBorder="true" applyAlignment="true" applyProtection="false">
      <alignment horizontal="general" vertical="bottom" textRotation="0" wrapText="true" indent="0" shrinkToFit="false"/>
    </xf>
    <xf numFmtId="166" fontId="0" fillId="0" borderId="2" applyFont="false" applyBorder="true" applyAlignment="true" applyProtection="false">
      <alignment horizontal="general" vertical="bottom" textRotation="0" wrapText="true" indent="0" shrinkToFit="false"/>
    </xf>
    <xf numFmtId="167" fontId="0" fillId="0" borderId="2" applyFont="false" applyBorder="true" applyAlignment="true" applyProtection="false">
      <alignment horizontal="general" vertical="bottom" textRotation="0" wrapText="true" indent="0" shrinkToFit="false"/>
    </xf>
    <xf numFmtId="168" fontId="0" fillId="0" borderId="2" applyFont="false" applyBorder="true" applyAlignment="true" applyProtection="false">
      <alignment horizontal="left" vertical="bottom" textRotation="0" wrapText="true" indent="0" shrinkToFit="false"/>
    </xf>
    <xf numFmtId="168" fontId="8" fillId="0" borderId="2" applyFont="true" applyBorder="true" applyAlignment="true" applyProtection="false">
      <alignment horizontal="left" vertical="bottom" textRotation="0" wrapText="true" indent="0" shrinkToFit="false"/>
    </xf>
    <xf numFmtId="164" fontId="7" fillId="0" borderId="3" applyFont="true" applyBorder="true" applyAlignment="false" applyProtection="false"/>
    <xf numFmtId="165" fontId="7" fillId="0" borderId="3" applyFont="true" applyBorder="true" applyAlignment="false" applyProtection="false"/>
    <xf numFmtId="166" fontId="7" fillId="0" borderId="3" applyFont="true" applyBorder="true" applyAlignment="false" applyProtection="false"/>
    <xf numFmtId="164" fontId="9" fillId="3" borderId="4" applyFont="true" applyBorder="true" applyAlignment="false" applyProtection="false"/>
    <xf numFmtId="167" fontId="9" fillId="3" borderId="4" applyFont="true" applyBorder="true" applyAlignment="false" applyProtection="false"/>
    <xf numFmtId="164" fontId="10" fillId="2" borderId="0" applyFont="true" applyBorder="false" applyAlignment="true" applyProtection="false">
      <alignment horizontal="right" vertical="bottom" textRotation="0" wrapText="false" indent="0" shrinkToFit="false"/>
    </xf>
    <xf numFmtId="167" fontId="10" fillId="2" borderId="0" applyFont="true" applyBorder="false" applyAlignment="true" applyProtection="false">
      <alignment horizontal="right" vertical="bottom" textRotation="0" wrapText="false" indent="0" shrinkToFit="false"/>
    </xf>
    <xf numFmtId="164" fontId="9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6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6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6" fontId="0" fillId="0" borderId="2" xfId="3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0" fillId="0" borderId="2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31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8" fontId="8" fillId="0" borderId="2" xfId="33" applyFont="false" applyBorder="false" applyAlignment="false" applyProtection="false">
      <alignment horizontal="left" vertical="bottom" textRotation="0" wrapText="true" indent="0" shrinkToFit="false"/>
      <protection locked="true" hidden="false"/>
    </xf>
    <xf numFmtId="164" fontId="7" fillId="3" borderId="1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4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7" fillId="3" borderId="1" xfId="25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8" fontId="0" fillId="0" borderId="2" xfId="32" applyFont="false" applyBorder="false" applyAlignment="false" applyProtection="false">
      <alignment horizontal="left" vertical="bottom" textRotation="0" wrapText="true" indent="0" shrinkToFit="false"/>
      <protection locked="true" hidden="false"/>
    </xf>
    <xf numFmtId="165" fontId="0" fillId="0" borderId="2" xfId="29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0" fillId="0" borderId="2" xfId="28" applyFont="true" applyBorder="false" applyAlignment="false" applyProtection="false">
      <alignment horizontal="center" vertical="bottom" textRotation="0" wrapText="true" indent="0" shrinkToFit="false"/>
      <protection locked="true" hidden="false"/>
    </xf>
    <xf numFmtId="164" fontId="7" fillId="0" borderId="3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3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3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4" xfId="3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4" xfId="3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39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7" fontId="10" fillId="2" borderId="0" xfId="40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9" fillId="0" borderId="0" xfId="4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itle" xfId="20"/>
    <cellStyle name="NoteWrap" xfId="21"/>
    <cellStyle name="Section" xfId="22"/>
    <cellStyle name="ColHead" xfId="23"/>
    <cellStyle name="ColHeadRight" xfId="24"/>
    <cellStyle name="ColHeadCentre" xfId="25"/>
    <cellStyle name="Row" xfId="26"/>
    <cellStyle name="RowText" xfId="27"/>
    <cellStyle name="RowCentre" xfId="28"/>
    <cellStyle name="RowDays" xfId="29"/>
    <cellStyle name="RowDays2" xfId="30"/>
    <cellStyle name="RowUSD" xfId="31"/>
    <cellStyle name="RowDT" xfId="32"/>
    <cellStyle name="RowDTIn" xfId="33"/>
    <cellStyle name="Sub" xfId="34"/>
    <cellStyle name="SubDays" xfId="35"/>
    <cellStyle name="SubDays2" xfId="36"/>
    <cellStyle name="Total" xfId="37"/>
    <cellStyle name="TotalUSD" xfId="38"/>
    <cellStyle name="Diff" xfId="39"/>
    <cellStyle name="DiffUSD" xfId="40"/>
    <cellStyle name="Heading" xfId="4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6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D91"/>
      <rgbColor rgb="FF339966"/>
      <rgbColor rgb="FF003300"/>
      <rgbColor rgb="FF333300"/>
      <rgbColor rgb="FF993300"/>
      <rgbColor rgb="FF993366"/>
      <rgbColor rgb="FF1D4E5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3359375" defaultRowHeight="12.8" customHeight="false" zeroHeight="false" outlineLevelRow="0" outlineLevelCol="0"/>
  <cols>
    <col collapsed="false" customWidth="true" hidden="false" outlineLevel="0" max="1" min="1" style="0" width="25.98"/>
    <col collapsed="false" customWidth="true" hidden="false" outlineLevel="0" max="3" min="2" style="0" width="16.53"/>
    <col collapsed="false" customWidth="true" hidden="false" outlineLevel="0" max="4" min="4" style="0" width="15.35"/>
    <col collapsed="false" customWidth="true" hidden="false" outlineLevel="0" max="5" min="5" style="0" width="1.77"/>
    <col collapsed="false" customWidth="true" hidden="false" outlineLevel="0" max="6" min="6" style="0" width="32.48"/>
    <col collapsed="false" customWidth="true" hidden="false" outlineLevel="0" max="8" min="7" style="0" width="16.53"/>
    <col collapsed="false" customWidth="true" hidden="false" outlineLevel="0" max="9" min="9" style="0" width="7.68"/>
    <col collapsed="false" customWidth="true" hidden="false" outlineLevel="0" max="10" min="10" style="0" width="15.3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.9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6.45" hidden="false" customHeight="true" outlineLevel="0" collapsed="false"/>
    <row r="4" customFormat="false" ht="16.45" hidden="false" customHeight="true" outlineLevel="0" collapsed="false">
      <c r="A4" s="3" t="s">
        <v>2</v>
      </c>
      <c r="B4" s="3"/>
      <c r="C4" s="3"/>
      <c r="D4" s="3"/>
      <c r="E4" s="0" t="s">
        <v>3</v>
      </c>
      <c r="F4" s="0" t="s">
        <v>3</v>
      </c>
    </row>
    <row r="5" customFormat="false" ht="16.45" hidden="false" customHeight="true" outlineLevel="0" collapsed="false">
      <c r="A5" s="4" t="s">
        <v>4</v>
      </c>
      <c r="B5" s="5" t="n">
        <v>6</v>
      </c>
      <c r="C5" s="6" t="s">
        <v>5</v>
      </c>
      <c r="D5" s="6" t="s">
        <v>3</v>
      </c>
      <c r="E5" s="0" t="s">
        <v>3</v>
      </c>
      <c r="F5" s="0" t="s">
        <v>3</v>
      </c>
    </row>
    <row r="6" customFormat="false" ht="16.45" hidden="false" customHeight="true" outlineLevel="0" collapsed="false">
      <c r="A6" s="4" t="s">
        <v>6</v>
      </c>
      <c r="B6" s="7" t="n">
        <v>18000</v>
      </c>
      <c r="C6" s="6" t="s">
        <v>7</v>
      </c>
      <c r="D6" s="6" t="s">
        <v>3</v>
      </c>
      <c r="E6" s="0" t="s">
        <v>3</v>
      </c>
      <c r="F6" s="0" t="s">
        <v>3</v>
      </c>
    </row>
    <row r="7" customFormat="false" ht="16.45" hidden="false" customHeight="true" outlineLevel="0" collapsed="false">
      <c r="A7" s="4" t="s">
        <v>8</v>
      </c>
      <c r="B7" s="8" t="n">
        <v>46237.4333333333</v>
      </c>
      <c r="C7" s="6" t="s">
        <v>3</v>
      </c>
      <c r="D7" s="6" t="s">
        <v>3</v>
      </c>
      <c r="E7" s="0" t="s">
        <v>3</v>
      </c>
      <c r="F7" s="0" t="s">
        <v>3</v>
      </c>
    </row>
    <row r="8" customFormat="false" ht="16.45" hidden="false" customHeight="true" outlineLevel="0" collapsed="false">
      <c r="A8" s="4" t="s">
        <v>9</v>
      </c>
      <c r="B8" s="8" t="n">
        <v>46253.6833333333</v>
      </c>
      <c r="C8" s="6" t="s">
        <v>3</v>
      </c>
      <c r="D8" s="6" t="s">
        <v>3</v>
      </c>
      <c r="E8" s="0" t="s">
        <v>3</v>
      </c>
      <c r="F8" s="0" t="s">
        <v>3</v>
      </c>
    </row>
    <row r="9" customFormat="false" ht="16.45" hidden="false" customHeight="true" outlineLevel="0" collapsed="false"/>
    <row r="10" customFormat="false" ht="16.45" hidden="false" customHeight="true" outlineLevel="0" collapsed="false">
      <c r="A10" s="3" t="s">
        <v>10</v>
      </c>
      <c r="B10" s="3"/>
      <c r="C10" s="3"/>
      <c r="D10" s="3"/>
      <c r="E10" s="0" t="s">
        <v>3</v>
      </c>
      <c r="F10" s="3" t="s">
        <v>11</v>
      </c>
      <c r="G10" s="3"/>
      <c r="H10" s="3"/>
      <c r="I10" s="3"/>
      <c r="J10" s="3"/>
    </row>
    <row r="11" customFormat="false" ht="16.45" hidden="false" customHeight="true" outlineLevel="0" collapsed="false">
      <c r="A11" s="9" t="s">
        <v>12</v>
      </c>
      <c r="B11" s="9" t="s">
        <v>13</v>
      </c>
      <c r="C11" s="9" t="s">
        <v>14</v>
      </c>
      <c r="D11" s="10" t="s">
        <v>15</v>
      </c>
      <c r="E11" s="0" t="s">
        <v>3</v>
      </c>
      <c r="F11" s="9" t="s">
        <v>12</v>
      </c>
      <c r="G11" s="9" t="s">
        <v>13</v>
      </c>
      <c r="H11" s="9" t="s">
        <v>14</v>
      </c>
      <c r="I11" s="11" t="s">
        <v>16</v>
      </c>
      <c r="J11" s="10" t="s">
        <v>15</v>
      </c>
    </row>
    <row r="12" customFormat="false" ht="16.45" hidden="false" customHeight="true" outlineLevel="0" collapsed="false">
      <c r="A12" s="4" t="s">
        <v>17</v>
      </c>
      <c r="B12" s="12" t="n">
        <f aca="false">B7</f>
        <v>46237.4333333333</v>
      </c>
      <c r="C12" s="12" t="n">
        <f aca="false">B12+B5</f>
        <v>46243.4333333333</v>
      </c>
      <c r="D12" s="13" t="n">
        <f aca="false">ROUND(C12-B12,4)</f>
        <v>6</v>
      </c>
      <c r="E12" s="0" t="s">
        <v>3</v>
      </c>
      <c r="F12" s="4" t="s">
        <v>18</v>
      </c>
      <c r="G12" s="8" t="n">
        <v>46238.3333333333</v>
      </c>
      <c r="H12" s="8" t="n">
        <v>46241</v>
      </c>
      <c r="I12" s="14" t="s">
        <v>19</v>
      </c>
      <c r="J12" s="13" t="n">
        <f aca="false">IF(I12="Yes",H12-G12,0)</f>
        <v>2.66666666666667</v>
      </c>
    </row>
    <row r="13" customFormat="false" ht="16.45" hidden="false" customHeight="true" outlineLevel="0" collapsed="false">
      <c r="A13" s="4" t="s">
        <v>20</v>
      </c>
      <c r="B13" s="12" t="n">
        <f aca="false">C12</f>
        <v>46243.4333333333</v>
      </c>
      <c r="C13" s="12" t="n">
        <f aca="false">B8</f>
        <v>46253.6833333333</v>
      </c>
      <c r="D13" s="13" t="n">
        <f aca="false">ROUND(C13-B13,4)</f>
        <v>10.25</v>
      </c>
      <c r="E13" s="0" t="s">
        <v>3</v>
      </c>
      <c r="F13" s="4" t="s">
        <v>21</v>
      </c>
      <c r="G13" s="12" t="n">
        <f aca="false">H12</f>
        <v>46241</v>
      </c>
      <c r="H13" s="8" t="n">
        <v>46243</v>
      </c>
      <c r="I13" s="14" t="s">
        <v>22</v>
      </c>
      <c r="J13" s="13" t="n">
        <f aca="false">IF(I13="Yes",H13-G13,0)</f>
        <v>0</v>
      </c>
    </row>
    <row r="14" customFormat="false" ht="16.45" hidden="false" customHeight="true" outlineLevel="0" collapsed="false">
      <c r="A14" s="4" t="s">
        <v>3</v>
      </c>
      <c r="B14" s="4" t="s">
        <v>3</v>
      </c>
      <c r="C14" s="4" t="s">
        <v>3</v>
      </c>
      <c r="D14" s="4" t="s">
        <v>3</v>
      </c>
      <c r="E14" s="0" t="s">
        <v>3</v>
      </c>
      <c r="F14" s="4" t="s">
        <v>23</v>
      </c>
      <c r="G14" s="12" t="n">
        <f aca="false">H13</f>
        <v>46243</v>
      </c>
      <c r="H14" s="8" t="n">
        <v>46244</v>
      </c>
      <c r="I14" s="14" t="s">
        <v>22</v>
      </c>
      <c r="J14" s="13" t="n">
        <f aca="false">IF(I14="Yes",H14-G14,0)</f>
        <v>0</v>
      </c>
    </row>
    <row r="15" customFormat="false" ht="16.45" hidden="false" customHeight="true" outlineLevel="0" collapsed="false">
      <c r="A15" s="4" t="s">
        <v>3</v>
      </c>
      <c r="B15" s="4" t="s">
        <v>3</v>
      </c>
      <c r="C15" s="4" t="s">
        <v>3</v>
      </c>
      <c r="D15" s="4" t="s">
        <v>3</v>
      </c>
      <c r="E15" s="0" t="s">
        <v>3</v>
      </c>
      <c r="F15" s="4" t="s">
        <v>24</v>
      </c>
      <c r="G15" s="12" t="n">
        <f aca="false">H14</f>
        <v>46244</v>
      </c>
      <c r="H15" s="8" t="n">
        <v>46245</v>
      </c>
      <c r="I15" s="14" t="s">
        <v>22</v>
      </c>
      <c r="J15" s="13" t="n">
        <f aca="false">IF(I15="Yes",H15-G15,0)</f>
        <v>0</v>
      </c>
    </row>
    <row r="16" customFormat="false" ht="16.45" hidden="false" customHeight="true" outlineLevel="0" collapsed="false">
      <c r="A16" s="4" t="s">
        <v>3</v>
      </c>
      <c r="B16" s="4" t="s">
        <v>3</v>
      </c>
      <c r="C16" s="4" t="s">
        <v>3</v>
      </c>
      <c r="D16" s="4" t="s">
        <v>3</v>
      </c>
      <c r="E16" s="0" t="s">
        <v>3</v>
      </c>
      <c r="F16" s="4" t="s">
        <v>25</v>
      </c>
      <c r="G16" s="12" t="n">
        <f aca="false">H15</f>
        <v>46245</v>
      </c>
      <c r="H16" s="12" t="n">
        <f aca="false">ROUND((G16+(B5-SUM(J12:J15)))*1440,0)/1440</f>
        <v>46248.3333333333</v>
      </c>
      <c r="I16" s="14" t="s">
        <v>19</v>
      </c>
      <c r="J16" s="13" t="n">
        <f aca="false">IF(I16="Yes",H16-G16,0)</f>
        <v>3.33333333333333</v>
      </c>
    </row>
    <row r="17" customFormat="false" ht="16.45" hidden="false" customHeight="true" outlineLevel="0" collapsed="false">
      <c r="A17" s="0" t="s">
        <v>3</v>
      </c>
      <c r="B17" s="0" t="s">
        <v>3</v>
      </c>
      <c r="C17" s="0" t="s">
        <v>3</v>
      </c>
      <c r="D17" s="0" t="s">
        <v>3</v>
      </c>
      <c r="E17" s="0" t="s">
        <v>3</v>
      </c>
      <c r="F17" s="15" t="s">
        <v>26</v>
      </c>
      <c r="G17" s="15"/>
      <c r="H17" s="15"/>
      <c r="I17" s="15"/>
      <c r="J17" s="16" t="n">
        <f aca="false">SUM(J12:J16)</f>
        <v>6</v>
      </c>
    </row>
    <row r="18" customFormat="false" ht="16.45" hidden="false" customHeight="true" outlineLevel="0" collapsed="false">
      <c r="A18" s="0" t="s">
        <v>3</v>
      </c>
      <c r="B18" s="0" t="s">
        <v>3</v>
      </c>
      <c r="C18" s="0" t="s">
        <v>3</v>
      </c>
      <c r="D18" s="0" t="s">
        <v>3</v>
      </c>
      <c r="E18" s="0" t="s">
        <v>3</v>
      </c>
      <c r="F18" s="4" t="s">
        <v>27</v>
      </c>
      <c r="G18" s="12" t="n">
        <f aca="false">H16</f>
        <v>46248.3333333333</v>
      </c>
      <c r="H18" s="12" t="n">
        <f aca="false">B8</f>
        <v>46253.6833333333</v>
      </c>
      <c r="I18" s="14" t="s">
        <v>19</v>
      </c>
      <c r="J18" s="13" t="n">
        <f aca="false">IF(I18="Yes",ROUND(H18-G18,4),0)</f>
        <v>5.35</v>
      </c>
    </row>
    <row r="19" customFormat="false" ht="16.45" hidden="false" customHeight="true" outlineLevel="0" collapsed="false"/>
    <row r="20" customFormat="false" ht="16.45" hidden="false" customHeight="true" outlineLevel="0" collapsed="false">
      <c r="A20" s="15" t="s">
        <v>28</v>
      </c>
      <c r="B20" s="15"/>
      <c r="C20" s="15"/>
      <c r="D20" s="17" t="n">
        <f aca="false">D13</f>
        <v>10.25</v>
      </c>
      <c r="E20" s="0" t="s">
        <v>3</v>
      </c>
      <c r="F20" s="15" t="s">
        <v>28</v>
      </c>
      <c r="G20" s="15"/>
      <c r="H20" s="15"/>
      <c r="I20" s="15"/>
      <c r="J20" s="17" t="n">
        <f aca="false">J18</f>
        <v>5.35</v>
      </c>
    </row>
    <row r="21" customFormat="false" ht="16.45" hidden="false" customHeight="true" outlineLevel="0" collapsed="false">
      <c r="A21" s="18" t="s">
        <v>29</v>
      </c>
      <c r="B21" s="18"/>
      <c r="C21" s="18"/>
      <c r="D21" s="19" t="n">
        <f aca="false">ROUND(D20*B6,2)</f>
        <v>184500</v>
      </c>
      <c r="E21" s="0" t="s">
        <v>3</v>
      </c>
      <c r="F21" s="18" t="s">
        <v>29</v>
      </c>
      <c r="G21" s="18"/>
      <c r="H21" s="18"/>
      <c r="I21" s="18"/>
      <c r="J21" s="19" t="n">
        <f aca="false">ROUND(J20*B6,2)</f>
        <v>96300</v>
      </c>
    </row>
    <row r="22" customFormat="false" ht="16.45" hidden="false" customHeight="true" outlineLevel="0" collapsed="false"/>
    <row r="23" customFormat="false" ht="21.25" hidden="false" customHeight="true" outlineLevel="0" collapsed="false">
      <c r="A23" s="20" t="s">
        <v>30</v>
      </c>
      <c r="B23" s="20"/>
      <c r="C23" s="20"/>
      <c r="D23" s="20"/>
      <c r="E23" s="20"/>
      <c r="F23" s="20"/>
      <c r="G23" s="20"/>
      <c r="H23" s="20"/>
      <c r="I23" s="20"/>
      <c r="J23" s="21" t="n">
        <f aca="false">D21-J21</f>
        <v>88200</v>
      </c>
    </row>
    <row r="24" customFormat="false" ht="16.45" hidden="false" customHeight="true" outlineLevel="0" collapsed="false"/>
    <row r="25" customFormat="false" ht="16.45" hidden="false" customHeight="true" outlineLevel="0" collapsed="false">
      <c r="A25" s="22" t="s">
        <v>31</v>
      </c>
      <c r="B25" s="22"/>
      <c r="C25" s="22"/>
      <c r="D25" s="22"/>
      <c r="E25" s="22"/>
      <c r="F25" s="22"/>
      <c r="G25" s="22"/>
      <c r="H25" s="22"/>
      <c r="I25" s="22"/>
      <c r="J25" s="22"/>
    </row>
    <row r="26" customFormat="false" ht="14.15" hidden="false" customHeight="true" outlineLevel="0" collapsed="false">
      <c r="A26" s="2" t="s">
        <v>32</v>
      </c>
      <c r="B26" s="2"/>
      <c r="C26" s="2"/>
      <c r="D26" s="2"/>
      <c r="E26" s="2"/>
      <c r="F26" s="2"/>
      <c r="G26" s="2"/>
      <c r="H26" s="2"/>
      <c r="I26" s="2"/>
      <c r="J26" s="2"/>
    </row>
    <row r="27" customFormat="false" ht="26.95" hidden="false" customHeight="true" outlineLevel="0" collapsed="false">
      <c r="A27" s="2" t="s">
        <v>33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4.15" hidden="false" customHeight="true" outlineLevel="0" collapsed="false">
      <c r="A28" s="2" t="s">
        <v>34</v>
      </c>
      <c r="B28" s="2"/>
      <c r="C28" s="2"/>
      <c r="D28" s="2"/>
      <c r="E28" s="2"/>
      <c r="F28" s="2"/>
      <c r="G28" s="2"/>
      <c r="H28" s="2"/>
      <c r="I28" s="2"/>
      <c r="J28" s="2"/>
    </row>
  </sheetData>
  <mergeCells count="20">
    <mergeCell ref="A1:J1"/>
    <mergeCell ref="A2:J2"/>
    <mergeCell ref="A4:D4"/>
    <mergeCell ref="F4:J4"/>
    <mergeCell ref="F5:J5"/>
    <mergeCell ref="F6:J6"/>
    <mergeCell ref="F7:J7"/>
    <mergeCell ref="F8:J8"/>
    <mergeCell ref="A10:D10"/>
    <mergeCell ref="F10:J10"/>
    <mergeCell ref="F17:I17"/>
    <mergeCell ref="A20:C20"/>
    <mergeCell ref="F20:I20"/>
    <mergeCell ref="A21:C21"/>
    <mergeCell ref="F21:I21"/>
    <mergeCell ref="A23:I23"/>
    <mergeCell ref="A25:J25"/>
    <mergeCell ref="A26:J26"/>
    <mergeCell ref="A27:J27"/>
    <mergeCell ref="A28:J28"/>
  </mergeCells>
  <printOptions headings="false" gridLines="false" gridLinesSet="true" horizontalCentered="false" verticalCentered="false"/>
  <pageMargins left="0.354166666666667" right="0.354166666666667" top="0.39375" bottom="0.39375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2026-09-22T09:20:00Z</dcterms:created>
  <dc:creator>Priya Nair</dc:creator>
  <dc:description/>
  <dc:language>en-GB</dc:language>
  <cp:lastModifiedBy>Priya Nair</cp:lastModifiedBy>
  <dcterms:modified xsi:type="dcterms:W3CDTF">2026-09-22T10:25:00Z</dcterms:modified>
  <cp:revision>0</cp:revision>
  <dc:subject/>
  <dc:title>Laytime Calculation – MV Northern Star</dc:title>
</cp:coreProperties>
</file>